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第一層角色鍵" sheetId="2" state="visible" r:id="rId2"/>
    <sheet name="第二層功能鍵" sheetId="3" state="visible" r:id="rId3"/>
    <sheet name="第三層子功能鍵" sheetId="4" state="visible" r:id="rId4"/>
    <sheet name="頂欄整合待填" sheetId="5" state="visible" r:id="rId5"/>
    <sheet name="資訊按鈕待設計" sheetId="6" state="visible" r:id="rId6"/>
    <sheet name="空號登記" sheetId="7" state="visible" r:id="rId7"/>
  </sheets>
  <definedNames>
    <definedName name="_xlnm._FilterDatabase" localSheetId="2" hidden="1">'第二層功能鍵'!$A$3:$H$84</definedName>
    <definedName name="_xlnm._FilterDatabase" localSheetId="3" hidden="1">'第三層子功能鍵'!$A$3:$G$44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F3864"/>
      <sz val="14"/>
    </font>
    <font>
      <name val="Microsoft JhengHei"/>
      <sz val="11"/>
    </font>
    <font>
      <name val="Microsoft JhengHei"/>
      <b val="1"/>
      <sz val="11"/>
    </font>
    <font>
      <name val="Microsoft JhengHei"/>
      <b val="1"/>
      <color rgb="00FFFFFF"/>
      <sz val="11"/>
    </font>
    <font>
      <name val="Microsoft JhengHei"/>
      <color rgb="00808080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5" fillId="3" borderId="1" pivotButton="0" quotePrefix="0" xfId="0"/>
    <xf numFmtId="0" fontId="3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5" fillId="4" borderId="1" pivotButton="0" quotePrefix="0" xfId="0"/>
    <xf numFmtId="0" fontId="5" fillId="0" borderId="0" pivotButton="0" quotePrefix="0" xfId="0"/>
    <xf numFmtId="0" fontId="2" fillId="5" borderId="1" pivotButton="0" quotePrefix="0" xfId="0"/>
    <xf numFmtId="0" fontId="0" fillId="5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NEXORA GRID v3.0.0　快捷鍵對照表</t>
        </is>
      </c>
    </row>
    <row r="2">
      <c r="A2" s="2" t="inlineStr"/>
      <c r="B2" s="3" t="inlineStr"/>
    </row>
    <row r="3">
      <c r="A3" s="4" t="inlineStr">
        <is>
          <t>這份表是什麼</t>
        </is>
      </c>
      <c r="B3" s="3" t="inlineStr">
        <is>
          <t>九宮格三層導覽的完整鍵位對照。資料由程式碼直接抓出（role-registry.ts），不是憑印象整理。</t>
        </is>
      </c>
    </row>
    <row r="4">
      <c r="A4" s="4" t="inlineStr">
        <is>
          <t>怎麼按</t>
        </is>
      </c>
      <c r="B4" s="3" t="inlineStr">
        <is>
          <t>任何畫面按 F2 開九宮格 → 打角色數字 → 打功能數字 →（有第三層的再打一次）。全程不碰滑鼠。</t>
        </is>
      </c>
    </row>
    <row r="5">
      <c r="A5" s="4" t="inlineStr">
        <is>
          <t>排列方式</t>
        </is>
      </c>
      <c r="B5" s="3" t="inlineStr">
        <is>
          <t>螢幕上的格子位置＝數字鍵盤的位置：上排 7 8 9／中排 4 5 6／下排 1 2 3。</t>
        </is>
      </c>
    </row>
    <row r="6">
      <c r="A6" s="2" t="inlineStr"/>
      <c r="B6" s="3" t="inlineStr"/>
    </row>
    <row r="7">
      <c r="A7" s="4" t="inlineStr">
        <is>
          <t>0 的規則</t>
        </is>
      </c>
      <c r="B7" s="3" t="inlineStr">
        <is>
          <t>第一層按 0 ＝ 回首頁（離開九宮格、回工作檯）；第二層以後按 0 ＝ 回上一層。</t>
        </is>
      </c>
    </row>
    <row r="8">
      <c r="A8" s="2" t="inlineStr"/>
      <c r="B8" s="3" t="inlineStr">
        <is>
          <t>同一顆鍵一路退到底，只要記「退一步」一件事。</t>
        </is>
      </c>
    </row>
    <row r="9">
      <c r="A9" s="4" t="inlineStr">
        <is>
          <t>角色層一律要走</t>
        </is>
      </c>
      <c r="B9" s="3" t="inlineStr">
        <is>
          <t>2026-08-03 執行長拍板：沒權限的角色格子變灰、不重排，⛔ 不做「單一職務跳過角色層」。</t>
        </is>
      </c>
    </row>
    <row r="10">
      <c r="A10" s="2" t="inlineStr"/>
      <c r="B10" s="3" t="inlineStr">
        <is>
          <t>理由：跳過的話，那個人哪天多兼一個職務，全部鍵位位移一格、肌肉記憶歸零。</t>
        </is>
      </c>
    </row>
    <row r="11">
      <c r="A11" s="2" t="inlineStr"/>
      <c r="B11" s="3" t="inlineStr"/>
    </row>
    <row r="12">
      <c r="A12" s="4" t="inlineStr">
        <is>
          <t>號碼凍結鐵則</t>
        </is>
      </c>
      <c r="B12" s="3" t="inlineStr">
        <is>
          <t>數字一旦配給某個功能就終身不改。新功能撿空號排後面，停用的號碼留白不回收。</t>
        </is>
      </c>
    </row>
    <row r="13">
      <c r="A13" s="2" t="inlineStr"/>
      <c r="B13" s="3" t="inlineStr">
        <is>
          <t>顯示順序可以調，但號碼跟著功能走、不跟著位置走。上線後改號＝全公司打錯單。</t>
        </is>
      </c>
    </row>
    <row r="14">
      <c r="A14" s="2" t="inlineStr"/>
      <c r="B14" s="3" t="inlineStr"/>
    </row>
    <row r="15">
      <c r="A15" s="4" t="inlineStr">
        <is>
          <t>狀態欄怎麼看</t>
        </is>
      </c>
      <c r="B15" s="3" t="inlineStr">
        <is>
          <t>已上線＝路由存在、現在就能開；建置中＝號碼定了、頁面還沒做；留白＝刻意不放東西，號碼凍結保留。</t>
        </is>
      </c>
    </row>
    <row r="16">
      <c r="A16" s="4" t="inlineStr">
        <is>
          <t>要填的欄位</t>
        </is>
      </c>
      <c r="B16" s="3" t="inlineStr">
        <is>
          <t>黃底儲存格是留給執行長填的（集中在「頂欄整合」那一頁）。其餘欄位由程式碼決定，改了不會影響系統。</t>
        </is>
      </c>
    </row>
    <row r="17">
      <c r="A17" s="2" t="inlineStr"/>
      <c r="B17" s="3" t="inlineStr"/>
    </row>
    <row r="18">
      <c r="A18" s="4" t="inlineStr">
        <is>
          <t>資料來源</t>
        </is>
      </c>
      <c r="B18" s="3" t="inlineStr">
        <is>
          <t>apps/nx-ui/src/design/navigation/role-registry.ts（2026-08-03 產出）</t>
        </is>
      </c>
    </row>
    <row r="19">
      <c r="A19" s="4" t="inlineStr">
        <is>
          <t>規格書</t>
        </is>
      </c>
      <c r="B19" s="3" t="inlineStr">
        <is>
          <t>docs/專案/介面規格/NEXORA-介面架構-v3.0.0.md §3 §4 §5 §7</t>
        </is>
      </c>
    </row>
    <row r="21">
      <c r="A21" s="1" t="inlineStr">
        <is>
          <t>統計</t>
        </is>
      </c>
    </row>
    <row r="22">
      <c r="A22" s="2" t="inlineStr">
        <is>
          <t>第二層格子總數（9 角色 × 9 格）</t>
        </is>
      </c>
      <c r="B22" s="5" t="inlineStr">
        <is>
          <t>81</t>
        </is>
      </c>
    </row>
    <row r="23">
      <c r="A23" s="2" t="inlineStr">
        <is>
          <t xml:space="preserve">　已上線</t>
        </is>
      </c>
      <c r="B23" s="5">
        <f>COUNTIF(第二層功能鍵!E:E,"已上線")</f>
        <v/>
      </c>
    </row>
    <row r="24">
      <c r="A24" s="2" t="inlineStr">
        <is>
          <t xml:space="preserve">　建置中</t>
        </is>
      </c>
      <c r="B24" s="5">
        <f>COUNTIF(第二層功能鍵!E:E,"建置中")</f>
        <v/>
      </c>
    </row>
    <row r="25">
      <c r="A25" s="2" t="inlineStr">
        <is>
          <t xml:space="preserve">　留白（凍結不回收）</t>
        </is>
      </c>
      <c r="B25" s="5">
        <f>COUNTIF(第二層功能鍵!E:E,"留白（凍結）")</f>
        <v/>
      </c>
    </row>
    <row r="26">
      <c r="A26" s="2" t="inlineStr">
        <is>
          <t>第三層子功能總數</t>
        </is>
      </c>
      <c r="B26" s="5">
        <f>COUNTA(第三層子功能鍵!D:D)-1</f>
        <v/>
      </c>
    </row>
    <row r="27">
      <c r="A27" s="2" t="inlineStr">
        <is>
          <t xml:space="preserve">　已上線</t>
        </is>
      </c>
      <c r="B27" s="5">
        <f>COUNTIF(第三層子功能鍵!E:E,"已上線")</f>
        <v/>
      </c>
    </row>
    <row r="28">
      <c r="A28" s="2" t="inlineStr">
        <is>
          <t xml:space="preserve">　建置中</t>
        </is>
      </c>
      <c r="B28" s="5">
        <f>COUNTIF(第三層子功能鍵!E:E,"建置中")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0" customWidth="1" min="5" max="5"/>
    <col width="10" customWidth="1" min="6" max="6"/>
    <col width="12" customWidth="1" min="7" max="7"/>
    <col width="46" customWidth="1" min="8" max="8"/>
  </cols>
  <sheetData>
    <row r="1">
      <c r="A1" s="1" t="inlineStr">
        <is>
          <t>第一層：F2 之後按的第一個數字＝角色</t>
        </is>
      </c>
    </row>
    <row r="3">
      <c r="A3" s="6" t="inlineStr">
        <is>
          <t>按鍵</t>
        </is>
      </c>
      <c r="B3" s="6" t="inlineStr">
        <is>
          <t>數字鍵盤位置</t>
        </is>
      </c>
      <c r="C3" s="6" t="inlineStr">
        <is>
          <t>角色</t>
        </is>
      </c>
      <c r="D3" s="6" t="inlineStr">
        <is>
          <t>對應部門</t>
        </is>
      </c>
      <c r="E3" s="6" t="inlineStr">
        <is>
          <t>已上線</t>
        </is>
      </c>
      <c r="F3" s="6" t="inlineStr">
        <is>
          <t>建置中</t>
        </is>
      </c>
      <c r="G3" s="6" t="inlineStr">
        <is>
          <t>留白</t>
        </is>
      </c>
      <c r="H3" s="6" t="inlineStr">
        <is>
          <t>說明</t>
        </is>
      </c>
    </row>
    <row r="4">
      <c r="A4" s="7" t="inlineStr">
        <is>
          <t>F2 → 1</t>
        </is>
      </c>
      <c r="B4" s="8" t="inlineStr">
        <is>
          <t>下排左</t>
        </is>
      </c>
      <c r="C4" s="7" t="inlineStr">
        <is>
          <t>銷售作業</t>
        </is>
      </c>
      <c r="D4" s="9" t="inlineStr">
        <is>
          <t>業務部</t>
        </is>
      </c>
      <c r="E4" s="10">
        <f>COUNTIFS(第二層功能鍵!B:B,"銷售作業",第二層功能鍵!E:E,"已上線")</f>
        <v/>
      </c>
      <c r="F4" s="10">
        <f>COUNTIFS(第二層功能鍵!B:B,"銷售作業",第二層功能鍵!E:E,"建置中")</f>
        <v/>
      </c>
      <c r="G4" s="10">
        <f>COUNTIFS(第二層功能鍵!B:B,"銷售作業",第二層功能鍵!E:E,"留白（凍結）")</f>
        <v/>
      </c>
      <c r="H4" s="9" t="inlineStr">
        <is>
          <t>業務一天的主線：報價→銷貨→退貨→調貨</t>
        </is>
      </c>
    </row>
    <row r="5">
      <c r="A5" s="7" t="inlineStr">
        <is>
          <t>F2 → 2</t>
        </is>
      </c>
      <c r="B5" s="8" t="inlineStr">
        <is>
          <t>下排中</t>
        </is>
      </c>
      <c r="C5" s="7" t="inlineStr">
        <is>
          <t>採購作業</t>
        </is>
      </c>
      <c r="D5" s="9" t="inlineStr">
        <is>
          <t>採購部</t>
        </is>
      </c>
      <c r="E5" s="10">
        <f>COUNTIFS(第二層功能鍵!B:B,"採購作業",第二層功能鍵!E:E,"已上線")</f>
        <v/>
      </c>
      <c r="F5" s="10">
        <f>COUNTIFS(第二層功能鍵!B:B,"採購作業",第二層功能鍵!E:E,"建置中")</f>
        <v/>
      </c>
      <c r="G5" s="10">
        <f>COUNTIFS(第二層功能鍵!B:B,"採購作業",第二層功能鍵!E:E,"留白（凍結）")</f>
        <v/>
      </c>
      <c r="H5" s="9" t="inlineStr">
        <is>
          <t>採購部主線</t>
        </is>
      </c>
    </row>
    <row r="6">
      <c r="A6" s="7" t="inlineStr">
        <is>
          <t>F2 → 3</t>
        </is>
      </c>
      <c r="B6" s="8" t="inlineStr">
        <is>
          <t>下排右</t>
        </is>
      </c>
      <c r="C6" s="7" t="inlineStr">
        <is>
          <t>倉庫作業</t>
        </is>
      </c>
      <c r="D6" s="9" t="inlineStr">
        <is>
          <t>倉管部</t>
        </is>
      </c>
      <c r="E6" s="10">
        <f>COUNTIFS(第二層功能鍵!B:B,"倉庫作業",第二層功能鍵!E:E,"已上線")</f>
        <v/>
      </c>
      <c r="F6" s="10">
        <f>COUNTIFS(第二層功能鍵!B:B,"倉庫作業",第二層功能鍵!E:E,"建置中")</f>
        <v/>
      </c>
      <c r="G6" s="10">
        <f>COUNTIFS(第二層功能鍵!B:B,"倉庫作業",第二層功能鍵!E:E,"留白（凍結）")</f>
        <v/>
      </c>
      <c r="H6" s="9" t="inlineStr">
        <is>
          <t>倉管：八格全部是作業類別，不是單據</t>
        </is>
      </c>
    </row>
    <row r="7">
      <c r="A7" s="7" t="inlineStr">
        <is>
          <t>F2 → 4</t>
        </is>
      </c>
      <c r="B7" s="8" t="inlineStr">
        <is>
          <t>中排左</t>
        </is>
      </c>
      <c r="C7" s="7" t="inlineStr">
        <is>
          <t>物流作業</t>
        </is>
      </c>
      <c r="D7" s="9" t="inlineStr">
        <is>
          <t>倉管部</t>
        </is>
      </c>
      <c r="E7" s="10">
        <f>COUNTIFS(第二層功能鍵!B:B,"物流作業",第二層功能鍵!E:E,"已上線")</f>
        <v/>
      </c>
      <c r="F7" s="10">
        <f>COUNTIFS(第二層功能鍵!B:B,"物流作業",第二層功能鍵!E:E,"建置中")</f>
        <v/>
      </c>
      <c r="G7" s="10">
        <f>COUNTIFS(第二層功能鍵!B:B,"物流作業",第二層功能鍵!E:E,"留白（凍結）")</f>
        <v/>
      </c>
      <c r="H7" s="9" t="inlineStr">
        <is>
          <t>外務與調度共用一個角色（功能不綁裝置）</t>
        </is>
      </c>
    </row>
    <row r="8">
      <c r="A8" s="7" t="inlineStr">
        <is>
          <t>F2 → 5</t>
        </is>
      </c>
      <c r="B8" s="8" t="inlineStr">
        <is>
          <t>中排中</t>
        </is>
      </c>
      <c r="C8" s="7" t="inlineStr">
        <is>
          <t>產品作業</t>
        </is>
      </c>
      <c r="D8" s="9" t="inlineStr">
        <is>
          <t>產品部</t>
        </is>
      </c>
      <c r="E8" s="10">
        <f>COUNTIFS(第二層功能鍵!B:B,"產品作業",第二層功能鍵!E:E,"已上線")</f>
        <v/>
      </c>
      <c r="F8" s="10">
        <f>COUNTIFS(第二層功能鍵!B:B,"產品作業",第二層功能鍵!E:E,"建置中")</f>
        <v/>
      </c>
      <c r="G8" s="10">
        <f>COUNTIFS(第二層功能鍵!B:B,"產品作業",第二層功能鍵!E:E,"留白（凍結）")</f>
        <v/>
      </c>
      <c r="H8" s="9" t="inlineStr">
        <is>
          <t>產品部：建檔、定價、替代料</t>
        </is>
      </c>
    </row>
    <row r="9">
      <c r="A9" s="7" t="inlineStr">
        <is>
          <t>F2 → 6</t>
        </is>
      </c>
      <c r="B9" s="8" t="inlineStr">
        <is>
          <t>中排右</t>
        </is>
      </c>
      <c r="C9" s="7" t="inlineStr">
        <is>
          <t>出納作業</t>
        </is>
      </c>
      <c r="D9" s="9" t="inlineStr">
        <is>
          <t>財務部</t>
        </is>
      </c>
      <c r="E9" s="10">
        <f>COUNTIFS(第二層功能鍵!B:B,"出納作業",第二層功能鍵!E:E,"已上線")</f>
        <v/>
      </c>
      <c r="F9" s="10">
        <f>COUNTIFS(第二層功能鍵!B:B,"出納作業",第二層功能鍵!E:E,"建置中")</f>
        <v/>
      </c>
      <c r="G9" s="10">
        <f>COUNTIFS(第二層功能鍵!B:B,"出納作業",第二層功能鍵!E:E,"留白（凍結）")</f>
        <v/>
      </c>
      <c r="H9" s="9" t="inlineStr">
        <is>
          <t>管錢的（與會計分開是內控要求）</t>
        </is>
      </c>
    </row>
    <row r="10">
      <c r="A10" s="7" t="inlineStr">
        <is>
          <t>F2 → 7</t>
        </is>
      </c>
      <c r="B10" s="8" t="inlineStr">
        <is>
          <t>上排左</t>
        </is>
      </c>
      <c r="C10" s="7" t="inlineStr">
        <is>
          <t>會計作業</t>
        </is>
      </c>
      <c r="D10" s="9" t="inlineStr">
        <is>
          <t>財務部</t>
        </is>
      </c>
      <c r="E10" s="10">
        <f>COUNTIFS(第二層功能鍵!B:B,"會計作業",第二層功能鍵!E:E,"已上線")</f>
        <v/>
      </c>
      <c r="F10" s="10">
        <f>COUNTIFS(第二層功能鍵!B:B,"會計作業",第二層功能鍵!E:E,"建置中")</f>
        <v/>
      </c>
      <c r="G10" s="10">
        <f>COUNTIFS(第二層功能鍵!B:B,"會計作業",第二層功能鍵!E:E,"留白（凍結）")</f>
        <v/>
      </c>
      <c r="H10" s="9" t="inlineStr">
        <is>
          <t>管帳的（3／6／9 由總帳軌產出）</t>
        </is>
      </c>
    </row>
    <row r="11">
      <c r="A11" s="7" t="inlineStr">
        <is>
          <t>F2 → 8</t>
        </is>
      </c>
      <c r="B11" s="8" t="inlineStr">
        <is>
          <t>上排中</t>
        </is>
      </c>
      <c r="C11" s="7" t="inlineStr">
        <is>
          <t>經營作業</t>
        </is>
      </c>
      <c r="D11" s="9" t="inlineStr">
        <is>
          <t>總經理／董事長</t>
        </is>
      </c>
      <c r="E11" s="10">
        <f>COUNTIFS(第二層功能鍵!B:B,"經營作業",第二層功能鍵!E:E,"已上線")</f>
        <v/>
      </c>
      <c r="F11" s="10">
        <f>COUNTIFS(第二層功能鍵!B:B,"經營作業",第二層功能鍵!E:E,"建置中")</f>
        <v/>
      </c>
      <c r="G11" s="10">
        <f>COUNTIFS(第二層功能鍵!B:B,"經營作業",第二層功能鍵!E:E,"留白（凍結）")</f>
        <v/>
      </c>
      <c r="H11" s="9" t="inlineStr">
        <is>
          <t>總經理／董事長看的</t>
        </is>
      </c>
    </row>
    <row r="12">
      <c r="A12" s="7" t="inlineStr">
        <is>
          <t>F2 → 9</t>
        </is>
      </c>
      <c r="B12" s="8" t="inlineStr">
        <is>
          <t>上排右</t>
        </is>
      </c>
      <c r="C12" s="7" t="inlineStr">
        <is>
          <t>行政作業</t>
        </is>
      </c>
      <c r="D12" s="9" t="inlineStr">
        <is>
          <t>管理部</t>
        </is>
      </c>
      <c r="E12" s="10">
        <f>COUNTIFS(第二層功能鍵!B:B,"行政作業",第二層功能鍵!E:E,"已上線")</f>
        <v/>
      </c>
      <c r="F12" s="10">
        <f>COUNTIFS(第二層功能鍵!B:B,"行政作業",第二層功能鍵!E:E,"建置中")</f>
        <v/>
      </c>
      <c r="G12" s="10">
        <f>COUNTIFS(第二層功能鍵!B:B,"行政作業",第二層功能鍵!E:E,"留白（凍結）")</f>
        <v/>
      </c>
      <c r="H12" s="9" t="inlineStr">
        <is>
          <t>管理部：人、事務、資產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8" customWidth="1" min="4" max="4"/>
    <col width="14" customWidth="1" min="5" max="5"/>
    <col width="11" customWidth="1" min="6" max="6"/>
    <col width="50" customWidth="1" min="7" max="7"/>
    <col width="44" customWidth="1" min="8" max="8"/>
  </cols>
  <sheetData>
    <row r="1">
      <c r="A1" s="1" t="inlineStr">
        <is>
          <t>第二層：角色底下的九個功能格</t>
        </is>
      </c>
    </row>
    <row r="3">
      <c r="A3" s="6" t="inlineStr">
        <is>
          <t>按鍵序列</t>
        </is>
      </c>
      <c r="B3" s="6" t="inlineStr">
        <is>
          <t>角色</t>
        </is>
      </c>
      <c r="C3" s="6" t="inlineStr">
        <is>
          <t>格號</t>
        </is>
      </c>
      <c r="D3" s="6" t="inlineStr">
        <is>
          <t>功能名稱</t>
        </is>
      </c>
      <c r="E3" s="6" t="inlineStr">
        <is>
          <t>狀態</t>
        </is>
      </c>
      <c r="F3" s="6" t="inlineStr">
        <is>
          <t>有第三層</t>
        </is>
      </c>
      <c r="G3" s="6" t="inlineStr">
        <is>
          <t>路由</t>
        </is>
      </c>
      <c r="H3" s="6" t="inlineStr">
        <is>
          <t>備註</t>
        </is>
      </c>
    </row>
    <row r="4">
      <c r="A4" s="7" t="inlineStr">
        <is>
          <t>F2 → 1 → 1</t>
        </is>
      </c>
      <c r="B4" s="9" t="inlineStr">
        <is>
          <t>銷售作業</t>
        </is>
      </c>
      <c r="C4" s="10" t="n">
        <v>1</v>
      </c>
      <c r="D4" s="7" t="inlineStr">
        <is>
          <t>報價作業</t>
        </is>
      </c>
      <c r="E4" s="10" t="inlineStr">
        <is>
          <t>已上線</t>
        </is>
      </c>
      <c r="F4" s="10" t="inlineStr">
        <is>
          <t>有</t>
        </is>
      </c>
      <c r="G4" s="8" t="inlineStr"/>
      <c r="H4" s="9" t="inlineStr">
        <is>
          <t>有第三層。客戶來電的落點；查價查貨併在裡面</t>
        </is>
      </c>
    </row>
    <row r="5">
      <c r="A5" s="7" t="inlineStr">
        <is>
          <t>F2 → 1 → 2</t>
        </is>
      </c>
      <c r="B5" s="9" t="inlineStr">
        <is>
          <t>銷售作業</t>
        </is>
      </c>
      <c r="C5" s="10" t="n">
        <v>2</v>
      </c>
      <c r="D5" s="7" t="inlineStr">
        <is>
          <t>銷貨作業</t>
        </is>
      </c>
      <c r="E5" s="10" t="inlineStr">
        <is>
          <t>已上線</t>
        </is>
      </c>
      <c r="F5" s="10" t="inlineStr">
        <is>
          <t>有</t>
        </is>
      </c>
      <c r="G5" s="8" t="inlineStr"/>
      <c r="H5" s="9" t="inlineStr">
        <is>
          <t>有第三層</t>
        </is>
      </c>
    </row>
    <row r="6">
      <c r="A6" s="7" t="inlineStr">
        <is>
          <t>F2 → 1 → 3</t>
        </is>
      </c>
      <c r="B6" s="9" t="inlineStr">
        <is>
          <t>銷售作業</t>
        </is>
      </c>
      <c r="C6" s="10" t="n">
        <v>3</v>
      </c>
      <c r="D6" s="7" t="inlineStr">
        <is>
          <t>退貨作業</t>
        </is>
      </c>
      <c r="E6" s="10" t="inlineStr">
        <is>
          <t>已上線</t>
        </is>
      </c>
      <c r="F6" s="10" t="inlineStr"/>
      <c r="G6" s="8" t="inlineStr">
        <is>
          <t>/dashboard/sale/return</t>
        </is>
      </c>
      <c r="H6" s="9" t="inlineStr"/>
    </row>
    <row r="7">
      <c r="A7" s="7" t="inlineStr">
        <is>
          <t>F2 → 1 → 4</t>
        </is>
      </c>
      <c r="B7" s="9" t="inlineStr">
        <is>
          <t>銷售作業</t>
        </is>
      </c>
      <c r="C7" s="10" t="n">
        <v>4</v>
      </c>
      <c r="D7" s="7" t="inlineStr">
        <is>
          <t>調貨作業</t>
        </is>
      </c>
      <c r="E7" s="10" t="inlineStr">
        <is>
          <t>已上線</t>
        </is>
      </c>
      <c r="F7" s="10" t="inlineStr"/>
      <c r="G7" s="8" t="inlineStr">
        <is>
          <t>/dashboard/purchase/ti</t>
        </is>
      </c>
      <c r="H7" s="9" t="inlineStr">
        <is>
          <t>詢價紀錄要併進來</t>
        </is>
      </c>
    </row>
    <row r="8">
      <c r="A8" s="7" t="inlineStr">
        <is>
          <t>F2 → 1 → 5</t>
        </is>
      </c>
      <c r="B8" s="9" t="inlineStr">
        <is>
          <t>銷售作業</t>
        </is>
      </c>
      <c r="C8" s="10" t="n">
        <v>5</v>
      </c>
      <c r="D8" s="7" t="inlineStr">
        <is>
          <t>客戶管理</t>
        </is>
      </c>
      <c r="E8" s="10" t="inlineStr">
        <is>
          <t>已上線</t>
        </is>
      </c>
      <c r="F8" s="10" t="inlineStr"/>
      <c r="G8" s="8" t="inlineStr">
        <is>
          <t>/dashboard/master/partners/customer</t>
        </is>
      </c>
      <c r="H8" s="9" t="inlineStr"/>
    </row>
    <row r="9">
      <c r="A9" s="7" t="inlineStr">
        <is>
          <t>F2 → 1 → 6</t>
        </is>
      </c>
      <c r="B9" s="9" t="inlineStr">
        <is>
          <t>銷售作業</t>
        </is>
      </c>
      <c r="C9" s="10" t="n">
        <v>6</v>
      </c>
      <c r="D9" s="7" t="inlineStr">
        <is>
          <t>對帳查詢</t>
        </is>
      </c>
      <c r="E9" s="10" t="inlineStr">
        <is>
          <t>已上線</t>
        </is>
      </c>
      <c r="F9" s="10" t="inlineStr"/>
      <c r="G9" s="8" t="inlineStr">
        <is>
          <t>/dashboard/report/finance/ar-overview</t>
        </is>
      </c>
      <c r="H9" s="9" t="inlineStr"/>
    </row>
    <row r="10">
      <c r="A10" s="7" t="inlineStr">
        <is>
          <t>F2 → 1 → 7</t>
        </is>
      </c>
      <c r="B10" s="9" t="inlineStr">
        <is>
          <t>銷售作業</t>
        </is>
      </c>
      <c r="C10" s="10" t="n">
        <v>7</v>
      </c>
      <c r="D10" s="7" t="inlineStr">
        <is>
          <t>保固查詢</t>
        </is>
      </c>
      <c r="E10" s="10" t="inlineStr">
        <is>
          <t>已上線</t>
        </is>
      </c>
      <c r="F10" s="10" t="inlineStr"/>
      <c r="G10" s="8" t="inlineStr">
        <is>
          <t>/dashboard/sale/warranty</t>
        </is>
      </c>
      <c r="H10" s="9" t="inlineStr"/>
    </row>
    <row r="11">
      <c r="A11" s="7" t="inlineStr">
        <is>
          <t>F2 → 1 → 8</t>
        </is>
      </c>
      <c r="B11" s="9" t="inlineStr">
        <is>
          <t>銷售作業</t>
        </is>
      </c>
      <c r="C11" s="10" t="n">
        <v>8</v>
      </c>
      <c r="D11" s="7" t="inlineStr">
        <is>
          <t>銷售分析</t>
        </is>
      </c>
      <c r="E11" s="10" t="inlineStr">
        <is>
          <t>已上線</t>
        </is>
      </c>
      <c r="F11" s="10" t="inlineStr"/>
      <c r="G11" s="8" t="inlineStr">
        <is>
          <t>/dashboard/report/sales</t>
        </is>
      </c>
      <c r="H11" s="9" t="inlineStr"/>
    </row>
    <row r="12">
      <c r="A12" s="11" t="inlineStr">
        <is>
          <t>F2 → 1 → 9</t>
        </is>
      </c>
      <c r="B12" s="12" t="inlineStr">
        <is>
          <t>銷售作業</t>
        </is>
      </c>
      <c r="C12" s="13" t="n">
        <v>9</v>
      </c>
      <c r="D12" s="14" t="inlineStr">
        <is>
          <t>（留白）</t>
        </is>
      </c>
      <c r="E12" s="13" t="inlineStr">
        <is>
          <t>留白（凍結）</t>
        </is>
      </c>
      <c r="F12" s="13" t="inlineStr"/>
      <c r="G12" s="14" t="inlineStr"/>
      <c r="H12" s="12" t="inlineStr">
        <is>
          <t>執行長 2026-08-01 明確留白</t>
        </is>
      </c>
    </row>
    <row r="13">
      <c r="A13" s="7" t="inlineStr">
        <is>
          <t>F2 → 2 → 1</t>
        </is>
      </c>
      <c r="B13" s="9" t="inlineStr">
        <is>
          <t>採購作業</t>
        </is>
      </c>
      <c r="C13" s="10" t="n">
        <v>1</v>
      </c>
      <c r="D13" s="7" t="inlineStr">
        <is>
          <t>缺貨簿</t>
        </is>
      </c>
      <c r="E13" s="10" t="inlineStr">
        <is>
          <t>已上線</t>
        </is>
      </c>
      <c r="F13" s="10" t="inlineStr"/>
      <c r="G13" s="8" t="inlineStr">
        <is>
          <t>/dashboard/purchase/demand</t>
        </is>
      </c>
      <c r="H13" s="9" t="inlineStr"/>
    </row>
    <row r="14">
      <c r="A14" s="7" t="inlineStr">
        <is>
          <t>F2 → 2 → 2</t>
        </is>
      </c>
      <c r="B14" s="9" t="inlineStr">
        <is>
          <t>採購作業</t>
        </is>
      </c>
      <c r="C14" s="10" t="n">
        <v>2</v>
      </c>
      <c r="D14" s="7" t="inlineStr">
        <is>
          <t>採購單</t>
        </is>
      </c>
      <c r="E14" s="10" t="inlineStr">
        <is>
          <t>已上線</t>
        </is>
      </c>
      <c r="F14" s="10" t="inlineStr"/>
      <c r="G14" s="8" t="inlineStr">
        <is>
          <t>/dashboard/purchase/po</t>
        </is>
      </c>
      <c r="H14" s="9" t="inlineStr"/>
    </row>
    <row r="15">
      <c r="A15" s="7" t="inlineStr">
        <is>
          <t>F2 → 2 → 3</t>
        </is>
      </c>
      <c r="B15" s="9" t="inlineStr">
        <is>
          <t>採購作業</t>
        </is>
      </c>
      <c r="C15" s="10" t="n">
        <v>3</v>
      </c>
      <c r="D15" s="7" t="inlineStr">
        <is>
          <t>詢價作業</t>
        </is>
      </c>
      <c r="E15" s="10" t="inlineStr">
        <is>
          <t>已上線</t>
        </is>
      </c>
      <c r="F15" s="10" t="inlineStr"/>
      <c r="G15" s="8" t="inlineStr">
        <is>
          <t>/dashboard/purchase/rfq</t>
        </is>
      </c>
      <c r="H15" s="9" t="inlineStr"/>
    </row>
    <row r="16">
      <c r="A16" s="7" t="inlineStr">
        <is>
          <t>F2 → 2 → 4</t>
        </is>
      </c>
      <c r="B16" s="9" t="inlineStr">
        <is>
          <t>採購作業</t>
        </is>
      </c>
      <c r="C16" s="10" t="n">
        <v>4</v>
      </c>
      <c r="D16" s="7" t="inlineStr">
        <is>
          <t>進貨單</t>
        </is>
      </c>
      <c r="E16" s="10" t="inlineStr">
        <is>
          <t>已上線</t>
        </is>
      </c>
      <c r="F16" s="10" t="inlineStr"/>
      <c r="G16" s="8" t="inlineStr">
        <is>
          <t>/dashboard/purchase/rr</t>
        </is>
      </c>
      <c r="H16" s="9" t="inlineStr"/>
    </row>
    <row r="17">
      <c r="A17" s="7" t="inlineStr">
        <is>
          <t>F2 → 2 → 5</t>
        </is>
      </c>
      <c r="B17" s="9" t="inlineStr">
        <is>
          <t>採購作業</t>
        </is>
      </c>
      <c r="C17" s="10" t="n">
        <v>5</v>
      </c>
      <c r="D17" s="7" t="inlineStr">
        <is>
          <t>進貨退回</t>
        </is>
      </c>
      <c r="E17" s="10" t="inlineStr">
        <is>
          <t>已上線</t>
        </is>
      </c>
      <c r="F17" s="10" t="inlineStr"/>
      <c r="G17" s="8" t="inlineStr">
        <is>
          <t>/dashboard/purchase/pr</t>
        </is>
      </c>
      <c r="H17" s="9" t="inlineStr"/>
    </row>
    <row r="18">
      <c r="A18" s="15" t="inlineStr">
        <is>
          <t>F2 → 2 → 6</t>
        </is>
      </c>
      <c r="B18" s="16" t="inlineStr">
        <is>
          <t>採購作業</t>
        </is>
      </c>
      <c r="C18" s="17" t="n">
        <v>6</v>
      </c>
      <c r="D18" s="18" t="inlineStr">
        <is>
          <t>交期追蹤</t>
        </is>
      </c>
      <c r="E18" s="17" t="inlineStr">
        <is>
          <t>建置中</t>
        </is>
      </c>
      <c r="F18" s="17" t="inlineStr"/>
      <c r="G18" s="18" t="inlineStr"/>
      <c r="H18" s="16" t="inlineStr">
        <is>
          <t>採購真正的痛點：追未到的貨</t>
        </is>
      </c>
    </row>
    <row r="19">
      <c r="A19" s="7" t="inlineStr">
        <is>
          <t>F2 → 2 → 7</t>
        </is>
      </c>
      <c r="B19" s="9" t="inlineStr">
        <is>
          <t>採購作業</t>
        </is>
      </c>
      <c r="C19" s="10" t="n">
        <v>7</v>
      </c>
      <c r="D19" s="7" t="inlineStr">
        <is>
          <t>保固求償</t>
        </is>
      </c>
      <c r="E19" s="10" t="inlineStr">
        <is>
          <t>已上線</t>
        </is>
      </c>
      <c r="F19" s="10" t="inlineStr"/>
      <c r="G19" s="8" t="inlineStr">
        <is>
          <t>/dashboard/purchase/warranty</t>
        </is>
      </c>
      <c r="H19" s="9" t="inlineStr"/>
    </row>
    <row r="20">
      <c r="A20" s="7" t="inlineStr">
        <is>
          <t>F2 → 2 → 8</t>
        </is>
      </c>
      <c r="B20" s="9" t="inlineStr">
        <is>
          <t>採購作業</t>
        </is>
      </c>
      <c r="C20" s="10" t="n">
        <v>8</v>
      </c>
      <c r="D20" s="7" t="inlineStr">
        <is>
          <t>供應商管理</t>
        </is>
      </c>
      <c r="E20" s="10" t="inlineStr">
        <is>
          <t>已上線</t>
        </is>
      </c>
      <c r="F20" s="10" t="inlineStr"/>
      <c r="G20" s="8" t="inlineStr">
        <is>
          <t>/dashboard/master/partners/supplier</t>
        </is>
      </c>
      <c r="H20" s="9" t="inlineStr"/>
    </row>
    <row r="21">
      <c r="A21" s="7" t="inlineStr">
        <is>
          <t>F2 → 2 → 9</t>
        </is>
      </c>
      <c r="B21" s="9" t="inlineStr">
        <is>
          <t>採購作業</t>
        </is>
      </c>
      <c r="C21" s="10" t="n">
        <v>9</v>
      </c>
      <c r="D21" s="7" t="inlineStr">
        <is>
          <t>採購分析</t>
        </is>
      </c>
      <c r="E21" s="10" t="inlineStr">
        <is>
          <t>已上線</t>
        </is>
      </c>
      <c r="F21" s="10" t="inlineStr"/>
      <c r="G21" s="8" t="inlineStr">
        <is>
          <t>/dashboard/report/purchase</t>
        </is>
      </c>
      <c r="H21" s="9" t="inlineStr"/>
    </row>
    <row r="22">
      <c r="A22" s="7" t="inlineStr">
        <is>
          <t>F2 → 3 → 1</t>
        </is>
      </c>
      <c r="B22" s="9" t="inlineStr">
        <is>
          <t>倉庫作業</t>
        </is>
      </c>
      <c r="C22" s="10" t="n">
        <v>1</v>
      </c>
      <c r="D22" s="7" t="inlineStr">
        <is>
          <t>入庫作業</t>
        </is>
      </c>
      <c r="E22" s="10" t="inlineStr">
        <is>
          <t>已上線</t>
        </is>
      </c>
      <c r="F22" s="10" t="inlineStr">
        <is>
          <t>有</t>
        </is>
      </c>
      <c r="G22" s="8" t="inlineStr"/>
      <c r="H22" s="9" t="inlineStr">
        <is>
          <t>有第三層</t>
        </is>
      </c>
    </row>
    <row r="23">
      <c r="A23" s="7" t="inlineStr">
        <is>
          <t>F2 → 3 → 2</t>
        </is>
      </c>
      <c r="B23" s="9" t="inlineStr">
        <is>
          <t>倉庫作業</t>
        </is>
      </c>
      <c r="C23" s="10" t="n">
        <v>2</v>
      </c>
      <c r="D23" s="7" t="inlineStr">
        <is>
          <t>出庫作業</t>
        </is>
      </c>
      <c r="E23" s="10" t="inlineStr">
        <is>
          <t>已上線</t>
        </is>
      </c>
      <c r="F23" s="10" t="inlineStr">
        <is>
          <t>有</t>
        </is>
      </c>
      <c r="G23" s="8" t="inlineStr"/>
      <c r="H23" s="9" t="inlineStr">
        <is>
          <t>有第三層</t>
        </is>
      </c>
    </row>
    <row r="24">
      <c r="A24" s="7" t="inlineStr">
        <is>
          <t>F2 → 3 → 3</t>
        </is>
      </c>
      <c r="B24" s="9" t="inlineStr">
        <is>
          <t>倉庫作業</t>
        </is>
      </c>
      <c r="C24" s="10" t="n">
        <v>3</v>
      </c>
      <c r="D24" s="7" t="inlineStr">
        <is>
          <t>調撥作業</t>
        </is>
      </c>
      <c r="E24" s="10" t="inlineStr">
        <is>
          <t>已上線</t>
        </is>
      </c>
      <c r="F24" s="10" t="inlineStr">
        <is>
          <t>有</t>
        </is>
      </c>
      <c r="G24" s="8" t="inlineStr"/>
      <c r="H24" s="9" t="inlineStr">
        <is>
          <t>有第三層</t>
        </is>
      </c>
    </row>
    <row r="25">
      <c r="A25" s="7" t="inlineStr">
        <is>
          <t>F2 → 3 → 4</t>
        </is>
      </c>
      <c r="B25" s="9" t="inlineStr">
        <is>
          <t>倉庫作業</t>
        </is>
      </c>
      <c r="C25" s="10" t="n">
        <v>4</v>
      </c>
      <c r="D25" s="7" t="inlineStr">
        <is>
          <t>盤點作業</t>
        </is>
      </c>
      <c r="E25" s="10" t="inlineStr">
        <is>
          <t>已上線</t>
        </is>
      </c>
      <c r="F25" s="10" t="inlineStr">
        <is>
          <t>有</t>
        </is>
      </c>
      <c r="G25" s="8" t="inlineStr"/>
      <c r="H25" s="9" t="inlineStr">
        <is>
          <t>有第三層</t>
        </is>
      </c>
    </row>
    <row r="26">
      <c r="A26" s="7" t="inlineStr">
        <is>
          <t>F2 → 3 → 5</t>
        </is>
      </c>
      <c r="B26" s="9" t="inlineStr">
        <is>
          <t>倉庫作業</t>
        </is>
      </c>
      <c r="C26" s="10" t="n">
        <v>5</v>
      </c>
      <c r="D26" s="7" t="inlineStr">
        <is>
          <t>重組分解</t>
        </is>
      </c>
      <c r="E26" s="10" t="inlineStr">
        <is>
          <t>已上線</t>
        </is>
      </c>
      <c r="F26" s="10" t="inlineStr">
        <is>
          <t>有</t>
        </is>
      </c>
      <c r="G26" s="8" t="inlineStr"/>
      <c r="H26" s="9" t="inlineStr">
        <is>
          <t>有第三層</t>
        </is>
      </c>
    </row>
    <row r="27">
      <c r="A27" s="7" t="inlineStr">
        <is>
          <t>F2 → 3 → 6</t>
        </is>
      </c>
      <c r="B27" s="9" t="inlineStr">
        <is>
          <t>倉庫作業</t>
        </is>
      </c>
      <c r="C27" s="10" t="n">
        <v>6</v>
      </c>
      <c r="D27" s="7" t="inlineStr">
        <is>
          <t>異常回報</t>
        </is>
      </c>
      <c r="E27" s="10" t="inlineStr">
        <is>
          <t>已上線</t>
        </is>
      </c>
      <c r="F27" s="10" t="inlineStr">
        <is>
          <t>有</t>
        </is>
      </c>
      <c r="G27" s="8" t="inlineStr"/>
      <c r="H27" s="9" t="inlineStr">
        <is>
          <t>有第三層</t>
        </is>
      </c>
    </row>
    <row r="28">
      <c r="A28" s="7" t="inlineStr">
        <is>
          <t>F2 → 3 → 7</t>
        </is>
      </c>
      <c r="B28" s="9" t="inlineStr">
        <is>
          <t>倉庫作業</t>
        </is>
      </c>
      <c r="C28" s="10" t="n">
        <v>7</v>
      </c>
      <c r="D28" s="7" t="inlineStr">
        <is>
          <t>庫位管理</t>
        </is>
      </c>
      <c r="E28" s="10" t="inlineStr">
        <is>
          <t>已上線</t>
        </is>
      </c>
      <c r="F28" s="10" t="inlineStr">
        <is>
          <t>有</t>
        </is>
      </c>
      <c r="G28" s="8" t="inlineStr"/>
      <c r="H28" s="9" t="inlineStr">
        <is>
          <t>有第三層</t>
        </is>
      </c>
    </row>
    <row r="29">
      <c r="A29" s="7" t="inlineStr">
        <is>
          <t>F2 → 3 → 8</t>
        </is>
      </c>
      <c r="B29" s="9" t="inlineStr">
        <is>
          <t>倉庫作業</t>
        </is>
      </c>
      <c r="C29" s="10" t="n">
        <v>8</v>
      </c>
      <c r="D29" s="7" t="inlineStr">
        <is>
          <t>倉庫分析</t>
        </is>
      </c>
      <c r="E29" s="10" t="inlineStr">
        <is>
          <t>已上線</t>
        </is>
      </c>
      <c r="F29" s="10" t="inlineStr">
        <is>
          <t>有</t>
        </is>
      </c>
      <c r="G29" s="8" t="inlineStr"/>
      <c r="H29" s="9" t="inlineStr">
        <is>
          <t>有第三層</t>
        </is>
      </c>
    </row>
    <row r="30">
      <c r="A30" s="11" t="inlineStr">
        <is>
          <t>F2 → 3 → 9</t>
        </is>
      </c>
      <c r="B30" s="12" t="inlineStr">
        <is>
          <t>倉庫作業</t>
        </is>
      </c>
      <c r="C30" s="13" t="n">
        <v>9</v>
      </c>
      <c r="D30" s="14" t="inlineStr">
        <is>
          <t>（留白）</t>
        </is>
      </c>
      <c r="E30" s="13" t="inlineStr">
        <is>
          <t>留白（凍結）</t>
        </is>
      </c>
      <c r="F30" s="13" t="inlineStr"/>
      <c r="G30" s="14" t="inlineStr"/>
      <c r="H30" s="12" t="inlineStr">
        <is>
          <t>留白，不硬湊</t>
        </is>
      </c>
    </row>
    <row r="31">
      <c r="A31" s="7" t="inlineStr">
        <is>
          <t>F2 → 4 → 1</t>
        </is>
      </c>
      <c r="B31" s="9" t="inlineStr">
        <is>
          <t>物流作業</t>
        </is>
      </c>
      <c r="C31" s="10" t="n">
        <v>1</v>
      </c>
      <c r="D31" s="7" t="inlineStr">
        <is>
          <t>今日配送</t>
        </is>
      </c>
      <c r="E31" s="10" t="inlineStr">
        <is>
          <t>已上線</t>
        </is>
      </c>
      <c r="F31" s="10" t="inlineStr"/>
      <c r="G31" s="8" t="inlineStr">
        <is>
          <t>/dashboard/delivery/dispatch</t>
        </is>
      </c>
      <c r="H31" s="9" t="inlineStr"/>
    </row>
    <row r="32">
      <c r="A32" s="7" t="inlineStr">
        <is>
          <t>F2 → 4 → 2</t>
        </is>
      </c>
      <c r="B32" s="9" t="inlineStr">
        <is>
          <t>物流作業</t>
        </is>
      </c>
      <c r="C32" s="10" t="n">
        <v>2</v>
      </c>
      <c r="D32" s="7" t="inlineStr">
        <is>
          <t>送貨單</t>
        </is>
      </c>
      <c r="E32" s="10" t="inlineStr">
        <is>
          <t>已上線</t>
        </is>
      </c>
      <c r="F32" s="10" t="inlineStr"/>
      <c r="G32" s="8" t="inlineStr">
        <is>
          <t>/dashboard/inventory/delivery</t>
        </is>
      </c>
      <c r="H32" s="9" t="inlineStr"/>
    </row>
    <row r="33">
      <c r="A33" s="7" t="inlineStr">
        <is>
          <t>F2 → 4 → 3</t>
        </is>
      </c>
      <c r="B33" s="9" t="inlineStr">
        <is>
          <t>物流作業</t>
        </is>
      </c>
      <c r="C33" s="10" t="n">
        <v>3</v>
      </c>
      <c r="D33" s="7" t="inlineStr">
        <is>
          <t>簽收回報</t>
        </is>
      </c>
      <c r="E33" s="10" t="inlineStr">
        <is>
          <t>已上線</t>
        </is>
      </c>
      <c r="F33" s="10" t="inlineStr"/>
      <c r="G33" s="8" t="inlineStr">
        <is>
          <t>/dashboard/delivery/sign</t>
        </is>
      </c>
      <c r="H33" s="9" t="inlineStr"/>
    </row>
    <row r="34">
      <c r="A34" s="15" t="inlineStr">
        <is>
          <t>F2 → 4 → 4</t>
        </is>
      </c>
      <c r="B34" s="16" t="inlineStr">
        <is>
          <t>物流作業</t>
        </is>
      </c>
      <c r="C34" s="17" t="n">
        <v>4</v>
      </c>
      <c r="D34" s="18" t="inlineStr">
        <is>
          <t>代收貨款</t>
        </is>
      </c>
      <c r="E34" s="17" t="inlineStr">
        <is>
          <t>建置中</t>
        </is>
      </c>
      <c r="F34" s="17" t="inlineStr"/>
      <c r="G34" s="18" t="inlineStr"/>
      <c r="H34" s="16" t="inlineStr">
        <is>
          <t>司機收現金回來要交出納：錢與帳分離</t>
        </is>
      </c>
    </row>
    <row r="35">
      <c r="A35" s="7" t="inlineStr">
        <is>
          <t>F2 → 4 → 5</t>
        </is>
      </c>
      <c r="B35" s="9" t="inlineStr">
        <is>
          <t>物流作業</t>
        </is>
      </c>
      <c r="C35" s="10" t="n">
        <v>5</v>
      </c>
      <c r="D35" s="7" t="inlineStr">
        <is>
          <t>異常回報</t>
        </is>
      </c>
      <c r="E35" s="10" t="inlineStr">
        <is>
          <t>已上線</t>
        </is>
      </c>
      <c r="F35" s="10" t="inlineStr"/>
      <c r="G35" s="8" t="inlineStr">
        <is>
          <t>/dashboard/delivery/exception</t>
        </is>
      </c>
      <c r="H35" s="9" t="inlineStr"/>
    </row>
    <row r="36">
      <c r="A36" s="15" t="inlineStr">
        <is>
          <t>F2 → 4 → 6</t>
        </is>
      </c>
      <c r="B36" s="16" t="inlineStr">
        <is>
          <t>物流作業</t>
        </is>
      </c>
      <c r="C36" s="17" t="n">
        <v>6</v>
      </c>
      <c r="D36" s="18" t="inlineStr">
        <is>
          <t>退貨取回</t>
        </is>
      </c>
      <c r="E36" s="17" t="inlineStr">
        <is>
          <t>建置中</t>
        </is>
      </c>
      <c r="F36" s="17" t="inlineStr"/>
      <c r="G36" s="18" t="inlineStr"/>
      <c r="H36" s="16" t="inlineStr"/>
    </row>
    <row r="37">
      <c r="A37" s="7" t="inlineStr">
        <is>
          <t>F2 → 4 → 7</t>
        </is>
      </c>
      <c r="B37" s="9" t="inlineStr">
        <is>
          <t>物流作業</t>
        </is>
      </c>
      <c r="C37" s="10" t="n">
        <v>7</v>
      </c>
      <c r="D37" s="7" t="inlineStr">
        <is>
          <t>配送排程</t>
        </is>
      </c>
      <c r="E37" s="10" t="inlineStr">
        <is>
          <t>已上線</t>
        </is>
      </c>
      <c r="F37" s="10" t="inlineStr"/>
      <c r="G37" s="8" t="inlineStr">
        <is>
          <t>/dashboard/delivery/route</t>
        </is>
      </c>
      <c r="H37" s="9" t="inlineStr"/>
    </row>
    <row r="38">
      <c r="A38" s="15" t="inlineStr">
        <is>
          <t>F2 → 4 → 8</t>
        </is>
      </c>
      <c r="B38" s="16" t="inlineStr">
        <is>
          <t>物流作業</t>
        </is>
      </c>
      <c r="C38" s="17" t="n">
        <v>8</v>
      </c>
      <c r="D38" s="18" t="inlineStr">
        <is>
          <t>車輛管理</t>
        </is>
      </c>
      <c r="E38" s="17" t="inlineStr">
        <is>
          <t>建置中</t>
        </is>
      </c>
      <c r="F38" s="17" t="inlineStr"/>
      <c r="G38" s="18" t="inlineStr"/>
      <c r="H38" s="16" t="inlineStr"/>
    </row>
    <row r="39">
      <c r="A39" s="7" t="inlineStr">
        <is>
          <t>F2 → 4 → 9</t>
        </is>
      </c>
      <c r="B39" s="9" t="inlineStr">
        <is>
          <t>物流作業</t>
        </is>
      </c>
      <c r="C39" s="10" t="n">
        <v>9</v>
      </c>
      <c r="D39" s="7" t="inlineStr">
        <is>
          <t>物流分析</t>
        </is>
      </c>
      <c r="E39" s="10" t="inlineStr">
        <is>
          <t>已上線</t>
        </is>
      </c>
      <c r="F39" s="10" t="inlineStr"/>
      <c r="G39" s="8" t="inlineStr">
        <is>
          <t>/dashboard/report/warehouse-lead/route-efficiency</t>
        </is>
      </c>
      <c r="H39" s="9" t="inlineStr"/>
    </row>
    <row r="40">
      <c r="A40" s="7" t="inlineStr">
        <is>
          <t>F2 → 5 → 1</t>
        </is>
      </c>
      <c r="B40" s="9" t="inlineStr">
        <is>
          <t>產品作業</t>
        </is>
      </c>
      <c r="C40" s="10" t="n">
        <v>1</v>
      </c>
      <c r="D40" s="7" t="inlineStr">
        <is>
          <t>產品建檔</t>
        </is>
      </c>
      <c r="E40" s="10" t="inlineStr">
        <is>
          <t>已上線</t>
        </is>
      </c>
      <c r="F40" s="10" t="inlineStr"/>
      <c r="G40" s="8" t="inlineStr">
        <is>
          <t>/dashboard/master/parts</t>
        </is>
      </c>
      <c r="H40" s="9" t="inlineStr"/>
    </row>
    <row r="41">
      <c r="A41" s="7" t="inlineStr">
        <is>
          <t>F2 → 5 → 2</t>
        </is>
      </c>
      <c r="B41" s="9" t="inlineStr">
        <is>
          <t>產品作業</t>
        </is>
      </c>
      <c r="C41" s="10" t="n">
        <v>2</v>
      </c>
      <c r="D41" s="7" t="inlineStr">
        <is>
          <t>產品維護</t>
        </is>
      </c>
      <c r="E41" s="10" t="inlineStr">
        <is>
          <t>已上線</t>
        </is>
      </c>
      <c r="F41" s="10" t="inlineStr"/>
      <c r="G41" s="8" t="inlineStr">
        <is>
          <t>/dashboard/inventory/product-maintenance</t>
        </is>
      </c>
      <c r="H41" s="9" t="inlineStr"/>
    </row>
    <row r="42">
      <c r="A42" s="7" t="inlineStr">
        <is>
          <t>F2 → 5 → 3</t>
        </is>
      </c>
      <c r="B42" s="9" t="inlineStr">
        <is>
          <t>產品作業</t>
        </is>
      </c>
      <c r="C42" s="10" t="n">
        <v>3</v>
      </c>
      <c r="D42" s="7" t="inlineStr">
        <is>
          <t>定價管理</t>
        </is>
      </c>
      <c r="E42" s="10" t="inlineStr">
        <is>
          <t>已上線</t>
        </is>
      </c>
      <c r="F42" s="10" t="inlineStr"/>
      <c r="G42" s="8" t="inlineStr">
        <is>
          <t>/dashboard/master/parts/batch-price</t>
        </is>
      </c>
      <c r="H42" s="9" t="inlineStr"/>
    </row>
    <row r="43">
      <c r="A43" s="7" t="inlineStr">
        <is>
          <t>F2 → 5 → 4</t>
        </is>
      </c>
      <c r="B43" s="9" t="inlineStr">
        <is>
          <t>產品作業</t>
        </is>
      </c>
      <c r="C43" s="10" t="n">
        <v>4</v>
      </c>
      <c r="D43" s="7" t="inlineStr">
        <is>
          <t>廠牌管理</t>
        </is>
      </c>
      <c r="E43" s="10" t="inlineStr">
        <is>
          <t>已上線</t>
        </is>
      </c>
      <c r="F43" s="10" t="inlineStr"/>
      <c r="G43" s="8" t="inlineStr">
        <is>
          <t>/dashboard/master/brand</t>
        </is>
      </c>
      <c r="H43" s="9" t="inlineStr"/>
    </row>
    <row r="44">
      <c r="A44" s="7" t="inlineStr">
        <is>
          <t>F2 → 5 → 5</t>
        </is>
      </c>
      <c r="B44" s="9" t="inlineStr">
        <is>
          <t>產品作業</t>
        </is>
      </c>
      <c r="C44" s="10" t="n">
        <v>5</v>
      </c>
      <c r="D44" s="7" t="inlineStr">
        <is>
          <t>族群管理</t>
        </is>
      </c>
      <c r="E44" s="10" t="inlineStr">
        <is>
          <t>已上線</t>
        </is>
      </c>
      <c r="F44" s="10" t="inlineStr"/>
      <c r="G44" s="8" t="inlineStr">
        <is>
          <t>/dashboard/master/part-group</t>
        </is>
      </c>
      <c r="H44" s="9" t="inlineStr"/>
    </row>
    <row r="45">
      <c r="A45" s="7" t="inlineStr">
        <is>
          <t>F2 → 5 → 6</t>
        </is>
      </c>
      <c r="B45" s="9" t="inlineStr">
        <is>
          <t>產品作業</t>
        </is>
      </c>
      <c r="C45" s="10" t="n">
        <v>6</v>
      </c>
      <c r="D45" s="7" t="inlineStr">
        <is>
          <t>組合設定</t>
        </is>
      </c>
      <c r="E45" s="10" t="inlineStr">
        <is>
          <t>已上線</t>
        </is>
      </c>
      <c r="F45" s="10" t="inlineStr"/>
      <c r="G45" s="8" t="inlineStr">
        <is>
          <t>/dashboard/master/part-kit</t>
        </is>
      </c>
      <c r="H45" s="9" t="inlineStr">
        <is>
          <t>定義「一箱＝12 瓶」，與倉庫的重組分解單不同事</t>
        </is>
      </c>
    </row>
    <row r="46">
      <c r="A46" s="7" t="inlineStr">
        <is>
          <t>F2 → 5 → 7</t>
        </is>
      </c>
      <c r="B46" s="9" t="inlineStr">
        <is>
          <t>產品作業</t>
        </is>
      </c>
      <c r="C46" s="10" t="n">
        <v>7</v>
      </c>
      <c r="D46" s="7" t="inlineStr">
        <is>
          <t>替代料管理</t>
        </is>
      </c>
      <c r="E46" s="10" t="inlineStr">
        <is>
          <t>已上線</t>
        </is>
      </c>
      <c r="F46" s="10" t="inlineStr">
        <is>
          <t>有</t>
        </is>
      </c>
      <c r="G46" s="8" t="inlineStr"/>
      <c r="H46" s="9" t="inlineStr">
        <is>
          <t>有第三層</t>
        </is>
      </c>
    </row>
    <row r="47">
      <c r="A47" s="7" t="inlineStr">
        <is>
          <t>F2 → 5 → 8</t>
        </is>
      </c>
      <c r="B47" s="9" t="inlineStr">
        <is>
          <t>產品作業</t>
        </is>
      </c>
      <c r="C47" s="10" t="n">
        <v>8</v>
      </c>
      <c r="D47" s="7" t="inlineStr">
        <is>
          <t>供貨對應</t>
        </is>
      </c>
      <c r="E47" s="10" t="inlineStr">
        <is>
          <t>已上線</t>
        </is>
      </c>
      <c r="F47" s="10" t="inlineStr"/>
      <c r="G47" s="8" t="inlineStr">
        <is>
          <t>/dashboard/master/supplier-supply</t>
        </is>
      </c>
      <c r="H47" s="9" t="inlineStr"/>
    </row>
    <row r="48">
      <c r="A48" s="15" t="inlineStr">
        <is>
          <t>F2 → 5 → 9</t>
        </is>
      </c>
      <c r="B48" s="16" t="inlineStr">
        <is>
          <t>產品作業</t>
        </is>
      </c>
      <c r="C48" s="17" t="n">
        <v>9</v>
      </c>
      <c r="D48" s="18" t="inlineStr">
        <is>
          <t>產品分析</t>
        </is>
      </c>
      <c r="E48" s="17" t="inlineStr">
        <is>
          <t>建置中</t>
        </is>
      </c>
      <c r="F48" s="17" t="inlineStr"/>
      <c r="G48" s="18" t="inlineStr"/>
      <c r="H48" s="16" t="inlineStr"/>
    </row>
    <row r="49">
      <c r="A49" s="15" t="inlineStr">
        <is>
          <t>F2 → 6 → 1</t>
        </is>
      </c>
      <c r="B49" s="16" t="inlineStr">
        <is>
          <t>出納作業</t>
        </is>
      </c>
      <c r="C49" s="17" t="n">
        <v>1</v>
      </c>
      <c r="D49" s="18" t="inlineStr">
        <is>
          <t>收款作業</t>
        </is>
      </c>
      <c r="E49" s="17" t="inlineStr">
        <is>
          <t>建置中</t>
        </is>
      </c>
      <c r="F49" s="17" t="inlineStr"/>
      <c r="G49" s="18" t="inlineStr"/>
      <c r="H49" s="16" t="inlineStr"/>
    </row>
    <row r="50">
      <c r="A50" s="15" t="inlineStr">
        <is>
          <t>F2 → 6 → 2</t>
        </is>
      </c>
      <c r="B50" s="16" t="inlineStr">
        <is>
          <t>出納作業</t>
        </is>
      </c>
      <c r="C50" s="17" t="n">
        <v>2</v>
      </c>
      <c r="D50" s="18" t="inlineStr">
        <is>
          <t>付款作業</t>
        </is>
      </c>
      <c r="E50" s="17" t="inlineStr">
        <is>
          <t>建置中</t>
        </is>
      </c>
      <c r="F50" s="17" t="inlineStr"/>
      <c r="G50" s="18" t="inlineStr"/>
      <c r="H50" s="16" t="inlineStr"/>
    </row>
    <row r="51">
      <c r="A51" s="7" t="inlineStr">
        <is>
          <t>F2 → 6 → 3</t>
        </is>
      </c>
      <c r="B51" s="9" t="inlineStr">
        <is>
          <t>出納作業</t>
        </is>
      </c>
      <c r="C51" s="10" t="n">
        <v>3</v>
      </c>
      <c r="D51" s="7" t="inlineStr">
        <is>
          <t>票據管理</t>
        </is>
      </c>
      <c r="E51" s="10" t="inlineStr">
        <is>
          <t>已上線</t>
        </is>
      </c>
      <c r="F51" s="10" t="inlineStr"/>
      <c r="G51" s="8" t="inlineStr">
        <is>
          <t>/dashboard/finance/notes</t>
        </is>
      </c>
      <c r="H51" s="9" t="inlineStr"/>
    </row>
    <row r="52">
      <c r="A52" s="15" t="inlineStr">
        <is>
          <t>F2 → 6 → 4</t>
        </is>
      </c>
      <c r="B52" s="16" t="inlineStr">
        <is>
          <t>出納作業</t>
        </is>
      </c>
      <c r="C52" s="17" t="n">
        <v>4</v>
      </c>
      <c r="D52" s="18" t="inlineStr">
        <is>
          <t>銀行存提</t>
        </is>
      </c>
      <c r="E52" s="17" t="inlineStr">
        <is>
          <t>建置中</t>
        </is>
      </c>
      <c r="F52" s="17" t="inlineStr"/>
      <c r="G52" s="18" t="inlineStr"/>
      <c r="H52" s="16" t="inlineStr"/>
    </row>
    <row r="53">
      <c r="A53" s="15" t="inlineStr">
        <is>
          <t>F2 → 6 → 5</t>
        </is>
      </c>
      <c r="B53" s="16" t="inlineStr">
        <is>
          <t>出納作業</t>
        </is>
      </c>
      <c r="C53" s="17" t="n">
        <v>5</v>
      </c>
      <c r="D53" s="18" t="inlineStr">
        <is>
          <t>現金日報</t>
        </is>
      </c>
      <c r="E53" s="17" t="inlineStr">
        <is>
          <t>建置中</t>
        </is>
      </c>
      <c r="F53" s="17" t="inlineStr"/>
      <c r="G53" s="18" t="inlineStr"/>
      <c r="H53" s="16" t="inlineStr"/>
    </row>
    <row r="54">
      <c r="A54" s="15" t="inlineStr">
        <is>
          <t>F2 → 6 → 6</t>
        </is>
      </c>
      <c r="B54" s="16" t="inlineStr">
        <is>
          <t>出納作業</t>
        </is>
      </c>
      <c r="C54" s="17" t="n">
        <v>6</v>
      </c>
      <c r="D54" s="18" t="inlineStr">
        <is>
          <t>零用金</t>
        </is>
      </c>
      <c r="E54" s="17" t="inlineStr">
        <is>
          <t>建置中</t>
        </is>
      </c>
      <c r="F54" s="17" t="inlineStr"/>
      <c r="G54" s="18" t="inlineStr"/>
      <c r="H54" s="16" t="inlineStr"/>
    </row>
    <row r="55">
      <c r="A55" s="7" t="inlineStr">
        <is>
          <t>F2 → 6 → 7</t>
        </is>
      </c>
      <c r="B55" s="9" t="inlineStr">
        <is>
          <t>出納作業</t>
        </is>
      </c>
      <c r="C55" s="10" t="n">
        <v>7</v>
      </c>
      <c r="D55" s="7" t="inlineStr">
        <is>
          <t>帳戶管理</t>
        </is>
      </c>
      <c r="E55" s="10" t="inlineStr">
        <is>
          <t>已上線</t>
        </is>
      </c>
      <c r="F55" s="10" t="inlineStr"/>
      <c r="G55" s="8" t="inlineStr">
        <is>
          <t>/dashboard/finance/account</t>
        </is>
      </c>
      <c r="H55" s="9" t="inlineStr"/>
    </row>
    <row r="56">
      <c r="A56" s="7" t="inlineStr">
        <is>
          <t>F2 → 6 → 8</t>
        </is>
      </c>
      <c r="B56" s="9" t="inlineStr">
        <is>
          <t>出納作業</t>
        </is>
      </c>
      <c r="C56" s="10" t="n">
        <v>8</v>
      </c>
      <c r="D56" s="7" t="inlineStr">
        <is>
          <t>出納報表</t>
        </is>
      </c>
      <c r="E56" s="10" t="inlineStr">
        <is>
          <t>已上線</t>
        </is>
      </c>
      <c r="F56" s="10" t="inlineStr"/>
      <c r="G56" s="8" t="inlineStr">
        <is>
          <t>/dashboard/report/finance/cash-flow</t>
        </is>
      </c>
      <c r="H56" s="9" t="inlineStr"/>
    </row>
    <row r="57">
      <c r="A57" s="11" t="inlineStr">
        <is>
          <t>F2 → 6 → 9</t>
        </is>
      </c>
      <c r="B57" s="12" t="inlineStr">
        <is>
          <t>出納作業</t>
        </is>
      </c>
      <c r="C57" s="13" t="n">
        <v>9</v>
      </c>
      <c r="D57" s="14" t="inlineStr">
        <is>
          <t>（留白）</t>
        </is>
      </c>
      <c r="E57" s="13" t="inlineStr">
        <is>
          <t>留白（凍結）</t>
        </is>
      </c>
      <c r="F57" s="13" t="inlineStr"/>
      <c r="G57" s="14" t="inlineStr"/>
      <c r="H57" s="12" t="inlineStr">
        <is>
          <t>留白</t>
        </is>
      </c>
    </row>
    <row r="58">
      <c r="A58" s="7" t="inlineStr">
        <is>
          <t>F2 → 7 → 1</t>
        </is>
      </c>
      <c r="B58" s="9" t="inlineStr">
        <is>
          <t>會計作業</t>
        </is>
      </c>
      <c r="C58" s="10" t="n">
        <v>1</v>
      </c>
      <c r="D58" s="7" t="inlineStr">
        <is>
          <t>應收帳款</t>
        </is>
      </c>
      <c r="E58" s="10" t="inlineStr">
        <is>
          <t>已上線</t>
        </is>
      </c>
      <c r="F58" s="10" t="inlineStr"/>
      <c r="G58" s="8" t="inlineStr">
        <is>
          <t>/dashboard/finance/ar</t>
        </is>
      </c>
      <c r="H58" s="9" t="inlineStr"/>
    </row>
    <row r="59">
      <c r="A59" s="7" t="inlineStr">
        <is>
          <t>F2 → 7 → 2</t>
        </is>
      </c>
      <c r="B59" s="9" t="inlineStr">
        <is>
          <t>會計作業</t>
        </is>
      </c>
      <c r="C59" s="10" t="n">
        <v>2</v>
      </c>
      <c r="D59" s="7" t="inlineStr">
        <is>
          <t>應付帳款</t>
        </is>
      </c>
      <c r="E59" s="10" t="inlineStr">
        <is>
          <t>已上線</t>
        </is>
      </c>
      <c r="F59" s="10" t="inlineStr"/>
      <c r="G59" s="8" t="inlineStr">
        <is>
          <t>/dashboard/finance/ap</t>
        </is>
      </c>
      <c r="H59" s="9" t="inlineStr"/>
    </row>
    <row r="60">
      <c r="A60" s="15" t="inlineStr">
        <is>
          <t>F2 → 7 → 3</t>
        </is>
      </c>
      <c r="B60" s="16" t="inlineStr">
        <is>
          <t>會計作業</t>
        </is>
      </c>
      <c r="C60" s="17" t="n">
        <v>3</v>
      </c>
      <c r="D60" s="18" t="inlineStr">
        <is>
          <t>傳票作業</t>
        </is>
      </c>
      <c r="E60" s="17" t="inlineStr">
        <is>
          <t>建置中</t>
        </is>
      </c>
      <c r="F60" s="17" t="inlineStr"/>
      <c r="G60" s="18" t="inlineStr"/>
      <c r="H60" s="16" t="inlineStr">
        <is>
          <t>由總帳脊椎軌產出</t>
        </is>
      </c>
    </row>
    <row r="61">
      <c r="A61" s="15" t="inlineStr">
        <is>
          <t>F2 → 7 → 4</t>
        </is>
      </c>
      <c r="B61" s="16" t="inlineStr">
        <is>
          <t>會計作業</t>
        </is>
      </c>
      <c r="C61" s="17" t="n">
        <v>4</v>
      </c>
      <c r="D61" s="18" t="inlineStr">
        <is>
          <t>發票稅務</t>
        </is>
      </c>
      <c r="E61" s="17" t="inlineStr">
        <is>
          <t>建置中</t>
        </is>
      </c>
      <c r="F61" s="17" t="inlineStr"/>
      <c r="G61" s="18" t="inlineStr"/>
      <c r="H61" s="16" t="inlineStr"/>
    </row>
    <row r="62">
      <c r="A62" s="7" t="inlineStr">
        <is>
          <t>F2 → 7 → 5</t>
        </is>
      </c>
      <c r="B62" s="9" t="inlineStr">
        <is>
          <t>會計作業</t>
        </is>
      </c>
      <c r="C62" s="10" t="n">
        <v>5</v>
      </c>
      <c r="D62" s="7" t="inlineStr">
        <is>
          <t>月關帳</t>
        </is>
      </c>
      <c r="E62" s="10" t="inlineStr">
        <is>
          <t>已上線</t>
        </is>
      </c>
      <c r="F62" s="10" t="inlineStr"/>
      <c r="G62" s="8" t="inlineStr">
        <is>
          <t>/dashboard/finance/closing</t>
        </is>
      </c>
      <c r="H62" s="9" t="inlineStr"/>
    </row>
    <row r="63">
      <c r="A63" s="15" t="inlineStr">
        <is>
          <t>F2 → 7 → 6</t>
        </is>
      </c>
      <c r="B63" s="16" t="inlineStr">
        <is>
          <t>會計作業</t>
        </is>
      </c>
      <c r="C63" s="17" t="n">
        <v>6</v>
      </c>
      <c r="D63" s="18" t="inlineStr">
        <is>
          <t>總帳查詢</t>
        </is>
      </c>
      <c r="E63" s="17" t="inlineStr">
        <is>
          <t>建置中</t>
        </is>
      </c>
      <c r="F63" s="17" t="inlineStr"/>
      <c r="G63" s="18" t="inlineStr"/>
      <c r="H63" s="16" t="inlineStr">
        <is>
          <t>由總帳脊椎軌產出</t>
        </is>
      </c>
    </row>
    <row r="64">
      <c r="A64" s="7" t="inlineStr">
        <is>
          <t>F2 → 7 → 7</t>
        </is>
      </c>
      <c r="B64" s="9" t="inlineStr">
        <is>
          <t>會計作業</t>
        </is>
      </c>
      <c r="C64" s="10" t="n">
        <v>7</v>
      </c>
      <c r="D64" s="7" t="inlineStr">
        <is>
          <t>財務報表</t>
        </is>
      </c>
      <c r="E64" s="10" t="inlineStr">
        <is>
          <t>已上線</t>
        </is>
      </c>
      <c r="F64" s="10" t="inlineStr"/>
      <c r="G64" s="8" t="inlineStr">
        <is>
          <t>/dashboard/report/pnl</t>
        </is>
      </c>
      <c r="H64" s="9" t="inlineStr"/>
    </row>
    <row r="65">
      <c r="A65" s="15" t="inlineStr">
        <is>
          <t>F2 → 7 → 8</t>
        </is>
      </c>
      <c r="B65" s="16" t="inlineStr">
        <is>
          <t>會計作業</t>
        </is>
      </c>
      <c r="C65" s="17" t="n">
        <v>8</v>
      </c>
      <c r="D65" s="18" t="inlineStr">
        <is>
          <t>固定資產</t>
        </is>
      </c>
      <c r="E65" s="17" t="inlineStr">
        <is>
          <t>建置中</t>
        </is>
      </c>
      <c r="F65" s="17" t="inlineStr"/>
      <c r="G65" s="18" t="inlineStr"/>
      <c r="H65" s="16" t="inlineStr"/>
    </row>
    <row r="66">
      <c r="A66" s="15" t="inlineStr">
        <is>
          <t>F2 → 7 → 9</t>
        </is>
      </c>
      <c r="B66" s="16" t="inlineStr">
        <is>
          <t>會計作業</t>
        </is>
      </c>
      <c r="C66" s="17" t="n">
        <v>9</v>
      </c>
      <c r="D66" s="18" t="inlineStr">
        <is>
          <t>會計科目</t>
        </is>
      </c>
      <c r="E66" s="17" t="inlineStr">
        <is>
          <t>建置中</t>
        </is>
      </c>
      <c r="F66" s="17" t="inlineStr"/>
      <c r="G66" s="18" t="inlineStr"/>
      <c r="H66" s="16" t="inlineStr">
        <is>
          <t>由總帳脊椎軌產出</t>
        </is>
      </c>
    </row>
    <row r="67">
      <c r="A67" s="7" t="inlineStr">
        <is>
          <t>F2 → 8 → 1</t>
        </is>
      </c>
      <c r="B67" s="9" t="inlineStr">
        <is>
          <t>經營作業</t>
        </is>
      </c>
      <c r="C67" s="10" t="n">
        <v>1</v>
      </c>
      <c r="D67" s="7" t="inlineStr">
        <is>
          <t>經營儀表板</t>
        </is>
      </c>
      <c r="E67" s="10" t="inlineStr">
        <is>
          <t>已上線</t>
        </is>
      </c>
      <c r="F67" s="10" t="inlineStr"/>
      <c r="G67" s="8" t="inlineStr">
        <is>
          <t>/dashboard/report/workspace</t>
        </is>
      </c>
      <c r="H67" s="9" t="inlineStr"/>
    </row>
    <row r="68">
      <c r="A68" s="15" t="inlineStr">
        <is>
          <t>F2 → 8 → 2</t>
        </is>
      </c>
      <c r="B68" s="16" t="inlineStr">
        <is>
          <t>經營作業</t>
        </is>
      </c>
      <c r="C68" s="17" t="n">
        <v>2</v>
      </c>
      <c r="D68" s="18" t="inlineStr">
        <is>
          <t>待簽核</t>
        </is>
      </c>
      <c r="E68" s="17" t="inlineStr">
        <is>
          <t>建置中</t>
        </is>
      </c>
      <c r="F68" s="17" t="inlineStr"/>
      <c r="G68" s="18" t="inlineStr"/>
      <c r="H68" s="16" t="inlineStr">
        <is>
          <t>全系統沒有簽核單據表</t>
        </is>
      </c>
    </row>
    <row r="69">
      <c r="A69" s="15" t="inlineStr">
        <is>
          <t>F2 → 8 → 3</t>
        </is>
      </c>
      <c r="B69" s="16" t="inlineStr">
        <is>
          <t>經營作業</t>
        </is>
      </c>
      <c r="C69" s="17" t="n">
        <v>3</v>
      </c>
      <c r="D69" s="18" t="inlineStr">
        <is>
          <t>異常追蹤</t>
        </is>
      </c>
      <c r="E69" s="17" t="inlineStr">
        <is>
          <t>建置中</t>
        </is>
      </c>
      <c r="F69" s="17" t="inlineStr"/>
      <c r="G69" s="18" t="inlineStr"/>
      <c r="H69" s="16" t="inlineStr"/>
    </row>
    <row r="70">
      <c r="A70" s="7" t="inlineStr">
        <is>
          <t>F2 → 8 → 4</t>
        </is>
      </c>
      <c r="B70" s="9" t="inlineStr">
        <is>
          <t>經營作業</t>
        </is>
      </c>
      <c r="C70" s="10" t="n">
        <v>4</v>
      </c>
      <c r="D70" s="7" t="inlineStr">
        <is>
          <t>經營報表</t>
        </is>
      </c>
      <c r="E70" s="10" t="inlineStr">
        <is>
          <t>已上線</t>
        </is>
      </c>
      <c r="F70" s="10" t="inlineStr">
        <is>
          <t>有</t>
        </is>
      </c>
      <c r="G70" s="8" t="inlineStr"/>
      <c r="H70" s="9" t="inlineStr">
        <is>
          <t>有第三層</t>
        </is>
      </c>
    </row>
    <row r="71">
      <c r="A71" s="7" t="inlineStr">
        <is>
          <t>F2 → 8 → 5</t>
        </is>
      </c>
      <c r="B71" s="9" t="inlineStr">
        <is>
          <t>經營作業</t>
        </is>
      </c>
      <c r="C71" s="10" t="n">
        <v>5</v>
      </c>
      <c r="D71" s="7" t="inlineStr">
        <is>
          <t>人員績效</t>
        </is>
      </c>
      <c r="E71" s="10" t="inlineStr">
        <is>
          <t>已上線</t>
        </is>
      </c>
      <c r="F71" s="10" t="inlineStr"/>
      <c r="G71" s="8" t="inlineStr">
        <is>
          <t>/dashboard/hr/kpi</t>
        </is>
      </c>
      <c r="H71" s="9" t="inlineStr"/>
    </row>
    <row r="72">
      <c r="A72" s="7" t="inlineStr">
        <is>
          <t>F2 → 8 → 6</t>
        </is>
      </c>
      <c r="B72" s="9" t="inlineStr">
        <is>
          <t>經營作業</t>
        </is>
      </c>
      <c r="C72" s="10" t="n">
        <v>6</v>
      </c>
      <c r="D72" s="7" t="inlineStr">
        <is>
          <t>目標與 KPI</t>
        </is>
      </c>
      <c r="E72" s="10" t="inlineStr">
        <is>
          <t>已上線</t>
        </is>
      </c>
      <c r="F72" s="10" t="inlineStr"/>
      <c r="G72" s="8" t="inlineStr">
        <is>
          <t>/dashboard/report/owner/kpi-gap</t>
        </is>
      </c>
      <c r="H72" s="9" t="inlineStr"/>
    </row>
    <row r="73">
      <c r="A73" s="7" t="inlineStr">
        <is>
          <t>F2 → 8 → 7</t>
        </is>
      </c>
      <c r="B73" s="9" t="inlineStr">
        <is>
          <t>經營作業</t>
        </is>
      </c>
      <c r="C73" s="10" t="n">
        <v>7</v>
      </c>
      <c r="D73" s="7" t="inlineStr">
        <is>
          <t>客戶排行</t>
        </is>
      </c>
      <c r="E73" s="10" t="inlineStr">
        <is>
          <t>已上線</t>
        </is>
      </c>
      <c r="F73" s="10" t="inlineStr"/>
      <c r="G73" s="8" t="inlineStr">
        <is>
          <t>/dashboard/report/owner/sales-ranking</t>
        </is>
      </c>
      <c r="H73" s="9" t="inlineStr"/>
    </row>
    <row r="74">
      <c r="A74" s="11" t="inlineStr">
        <is>
          <t>F2 → 8 → 8</t>
        </is>
      </c>
      <c r="B74" s="12" t="inlineStr">
        <is>
          <t>經營作業</t>
        </is>
      </c>
      <c r="C74" s="13" t="n">
        <v>8</v>
      </c>
      <c r="D74" s="14" t="inlineStr">
        <is>
          <t>（留白）</t>
        </is>
      </c>
      <c r="E74" s="13" t="inlineStr">
        <is>
          <t>留白（凍結）</t>
        </is>
      </c>
      <c r="F74" s="13" t="inlineStr"/>
      <c r="G74" s="14" t="inlineStr"/>
      <c r="H74" s="12" t="inlineStr">
        <is>
          <t>留白</t>
        </is>
      </c>
    </row>
    <row r="75">
      <c r="A75" s="11" t="inlineStr">
        <is>
          <t>F2 → 8 → 9</t>
        </is>
      </c>
      <c r="B75" s="12" t="inlineStr">
        <is>
          <t>經營作業</t>
        </is>
      </c>
      <c r="C75" s="13" t="n">
        <v>9</v>
      </c>
      <c r="D75" s="14" t="inlineStr">
        <is>
          <t>（留白）</t>
        </is>
      </c>
      <c r="E75" s="13" t="inlineStr">
        <is>
          <t>留白（凍結）</t>
        </is>
      </c>
      <c r="F75" s="13" t="inlineStr"/>
      <c r="G75" s="14" t="inlineStr"/>
      <c r="H75" s="12" t="inlineStr">
        <is>
          <t>留白</t>
        </is>
      </c>
    </row>
    <row r="76">
      <c r="A76" s="7" t="inlineStr">
        <is>
          <t>F2 → 9 → 1</t>
        </is>
      </c>
      <c r="B76" s="9" t="inlineStr">
        <is>
          <t>行政作業</t>
        </is>
      </c>
      <c r="C76" s="10" t="n">
        <v>1</v>
      </c>
      <c r="D76" s="7" t="inlineStr">
        <is>
          <t>人員資料</t>
        </is>
      </c>
      <c r="E76" s="10" t="inlineStr">
        <is>
          <t>已上線</t>
        </is>
      </c>
      <c r="F76" s="10" t="inlineStr">
        <is>
          <t>有</t>
        </is>
      </c>
      <c r="G76" s="8" t="inlineStr"/>
      <c r="H76" s="9" t="inlineStr">
        <is>
          <t>有第三層</t>
        </is>
      </c>
    </row>
    <row r="77">
      <c r="A77" s="7" t="inlineStr">
        <is>
          <t>F2 → 9 → 2</t>
        </is>
      </c>
      <c r="B77" s="9" t="inlineStr">
        <is>
          <t>行政作業</t>
        </is>
      </c>
      <c r="C77" s="10" t="n">
        <v>2</v>
      </c>
      <c r="D77" s="7" t="inlineStr">
        <is>
          <t>使用者與權限</t>
        </is>
      </c>
      <c r="E77" s="10" t="inlineStr">
        <is>
          <t>已上線</t>
        </is>
      </c>
      <c r="F77" s="10" t="inlineStr"/>
      <c r="G77" s="8" t="inlineStr">
        <is>
          <t>/dashboard/master/users</t>
        </is>
      </c>
      <c r="H77" s="9" t="inlineStr">
        <is>
          <t>待裁示：是否與 9-1 人員資料合併</t>
        </is>
      </c>
    </row>
    <row r="78">
      <c r="A78" s="7" t="inlineStr">
        <is>
          <t>F2 → 9 → 3</t>
        </is>
      </c>
      <c r="B78" s="9" t="inlineStr">
        <is>
          <t>行政作業</t>
        </is>
      </c>
      <c r="C78" s="10" t="n">
        <v>3</v>
      </c>
      <c r="D78" s="7" t="inlineStr">
        <is>
          <t>公告管理</t>
        </is>
      </c>
      <c r="E78" s="10" t="inlineStr">
        <is>
          <t>已上線</t>
        </is>
      </c>
      <c r="F78" s="10" t="inlineStr"/>
      <c r="G78" s="8" t="inlineStr">
        <is>
          <t>/dashboard/master/bulletins</t>
        </is>
      </c>
      <c r="H78" s="9" t="inlineStr"/>
    </row>
    <row r="79">
      <c r="A79" s="7" t="inlineStr">
        <is>
          <t>F2 → 9 → 4</t>
        </is>
      </c>
      <c r="B79" s="9" t="inlineStr">
        <is>
          <t>行政作業</t>
        </is>
      </c>
      <c r="C79" s="10" t="n">
        <v>4</v>
      </c>
      <c r="D79" s="7" t="inlineStr">
        <is>
          <t>組織架構</t>
        </is>
      </c>
      <c r="E79" s="10" t="inlineStr">
        <is>
          <t>已上線</t>
        </is>
      </c>
      <c r="F79" s="10" t="inlineStr"/>
      <c r="G79" s="8" t="inlineStr">
        <is>
          <t>/dashboard/master/org-structure</t>
        </is>
      </c>
      <c r="H79" s="9" t="inlineStr"/>
    </row>
    <row r="80">
      <c r="A80" s="15" t="inlineStr">
        <is>
          <t>F2 → 9 → 5</t>
        </is>
      </c>
      <c r="B80" s="16" t="inlineStr">
        <is>
          <t>行政作業</t>
        </is>
      </c>
      <c r="C80" s="17" t="n">
        <v>5</v>
      </c>
      <c r="D80" s="18" t="inlineStr">
        <is>
          <t>資產管理</t>
        </is>
      </c>
      <c r="E80" s="17" t="inlineStr">
        <is>
          <t>建置中</t>
        </is>
      </c>
      <c r="F80" s="17" t="inlineStr"/>
      <c r="G80" s="18" t="inlineStr"/>
      <c r="H80" s="16" t="inlineStr"/>
    </row>
    <row r="81">
      <c r="A81" s="7" t="inlineStr">
        <is>
          <t>F2 → 9 → 6</t>
        </is>
      </c>
      <c r="B81" s="9" t="inlineStr">
        <is>
          <t>行政作業</t>
        </is>
      </c>
      <c r="C81" s="10" t="n">
        <v>6</v>
      </c>
      <c r="D81" s="7" t="inlineStr">
        <is>
          <t>據點倉庫</t>
        </is>
      </c>
      <c r="E81" s="10" t="inlineStr">
        <is>
          <t>已上線</t>
        </is>
      </c>
      <c r="F81" s="10" t="inlineStr"/>
      <c r="G81" s="8" t="inlineStr">
        <is>
          <t>/dashboard/master/site</t>
        </is>
      </c>
      <c r="H81" s="9" t="inlineStr"/>
    </row>
    <row r="82">
      <c r="A82" s="7" t="inlineStr">
        <is>
          <t>F2 → 9 → 7</t>
        </is>
      </c>
      <c r="B82" s="9" t="inlineStr">
        <is>
          <t>行政作業</t>
        </is>
      </c>
      <c r="C82" s="10" t="n">
        <v>7</v>
      </c>
      <c r="D82" s="7" t="inlineStr">
        <is>
          <t>系統參數</t>
        </is>
      </c>
      <c r="E82" s="10" t="inlineStr">
        <is>
          <t>已上線</t>
        </is>
      </c>
      <c r="F82" s="10" t="inlineStr"/>
      <c r="G82" s="8" t="inlineStr">
        <is>
          <t>/dashboard/settings/system-param</t>
        </is>
      </c>
      <c r="H82" s="9" t="inlineStr"/>
    </row>
    <row r="83">
      <c r="A83" s="7" t="inlineStr">
        <is>
          <t>F2 → 9 → 8</t>
        </is>
      </c>
      <c r="B83" s="9" t="inlineStr">
        <is>
          <t>行政作業</t>
        </is>
      </c>
      <c r="C83" s="10" t="n">
        <v>8</v>
      </c>
      <c r="D83" s="7" t="inlineStr">
        <is>
          <t>字典設定</t>
        </is>
      </c>
      <c r="E83" s="10" t="inlineStr">
        <is>
          <t>已上線</t>
        </is>
      </c>
      <c r="F83" s="10" t="inlineStr">
        <is>
          <t>有</t>
        </is>
      </c>
      <c r="G83" s="8" t="inlineStr"/>
      <c r="H83" s="9" t="inlineStr">
        <is>
          <t>有第三層</t>
        </is>
      </c>
    </row>
    <row r="84">
      <c r="A84" s="15" t="inlineStr">
        <is>
          <t>F2 → 9 → 9</t>
        </is>
      </c>
      <c r="B84" s="16" t="inlineStr">
        <is>
          <t>行政作業</t>
        </is>
      </c>
      <c r="C84" s="17" t="n">
        <v>9</v>
      </c>
      <c r="D84" s="18" t="inlineStr">
        <is>
          <t>操作紀錄</t>
        </is>
      </c>
      <c r="E84" s="17" t="inlineStr">
        <is>
          <t>建置中</t>
        </is>
      </c>
      <c r="F84" s="17" t="inlineStr"/>
      <c r="G84" s="18" t="inlineStr"/>
      <c r="H84" s="16" t="inlineStr"/>
    </row>
  </sheetData>
  <autoFilter ref="A3:H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12" customWidth="1" min="5" max="5"/>
    <col width="50" customWidth="1" min="6" max="6"/>
    <col width="34" customWidth="1" min="7" max="7"/>
  </cols>
  <sheetData>
    <row r="1">
      <c r="A1" s="1" t="inlineStr">
        <is>
          <t>第三層：只有 12 個功能格有第三層，其餘兩下到位</t>
        </is>
      </c>
    </row>
    <row r="3">
      <c r="A3" s="6" t="inlineStr">
        <is>
          <t>按鍵序列</t>
        </is>
      </c>
      <c r="B3" s="6" t="inlineStr">
        <is>
          <t>角色</t>
        </is>
      </c>
      <c r="C3" s="6" t="inlineStr">
        <is>
          <t>上層功能</t>
        </is>
      </c>
      <c r="D3" s="6" t="inlineStr">
        <is>
          <t>子功能名稱</t>
        </is>
      </c>
      <c r="E3" s="6" t="inlineStr">
        <is>
          <t>狀態</t>
        </is>
      </c>
      <c r="F3" s="6" t="inlineStr">
        <is>
          <t>路由</t>
        </is>
      </c>
      <c r="G3" s="6" t="inlineStr">
        <is>
          <t>備註</t>
        </is>
      </c>
    </row>
    <row r="4">
      <c r="A4" s="7" t="inlineStr">
        <is>
          <t>F2 → 1 → 1 → 1</t>
        </is>
      </c>
      <c r="B4" s="9" t="inlineStr">
        <is>
          <t>銷售作業</t>
        </is>
      </c>
      <c r="C4" s="9" t="inlineStr">
        <is>
          <t>報價作業</t>
        </is>
      </c>
      <c r="D4" s="7" t="inlineStr">
        <is>
          <t>建立報價</t>
        </is>
      </c>
      <c r="E4" s="10" t="inlineStr">
        <is>
          <t>已上線</t>
        </is>
      </c>
      <c r="F4" s="8" t="inlineStr">
        <is>
          <t>/dashboard/sale/quote</t>
        </is>
      </c>
      <c r="G4" s="9" t="inlineStr">
        <is>
          <t>開單殼，五段流程</t>
        </is>
      </c>
    </row>
    <row r="5">
      <c r="A5" s="7" t="inlineStr">
        <is>
          <t>F2 → 1 → 1 → 2</t>
        </is>
      </c>
      <c r="B5" s="9" t="inlineStr">
        <is>
          <t>銷售作業</t>
        </is>
      </c>
      <c r="C5" s="9" t="inlineStr">
        <is>
          <t>報價作業</t>
        </is>
      </c>
      <c r="D5" s="7" t="inlineStr">
        <is>
          <t>報價管理</t>
        </is>
      </c>
      <c r="E5" s="10" t="inlineStr">
        <is>
          <t>已上線</t>
        </is>
      </c>
      <c r="F5" s="8" t="inlineStr">
        <is>
          <t>/dashboard/sale/qt</t>
        </is>
      </c>
      <c r="G5" s="9" t="inlineStr">
        <is>
          <t>清單→檢視殼</t>
        </is>
      </c>
    </row>
    <row r="6">
      <c r="A6" s="7" t="inlineStr">
        <is>
          <t>F2 → 1 → 2 → 1</t>
        </is>
      </c>
      <c r="B6" s="9" t="inlineStr">
        <is>
          <t>銷售作業</t>
        </is>
      </c>
      <c r="C6" s="9" t="inlineStr">
        <is>
          <t>銷貨作業</t>
        </is>
      </c>
      <c r="D6" s="7" t="inlineStr">
        <is>
          <t>建立銷貨單</t>
        </is>
      </c>
      <c r="E6" s="10" t="inlineStr">
        <is>
          <t>已上線</t>
        </is>
      </c>
      <c r="F6" s="8" t="inlineStr">
        <is>
          <t>/dashboard/sale/order</t>
        </is>
      </c>
      <c r="G6" s="9" t="inlineStr">
        <is>
          <t>開單殼</t>
        </is>
      </c>
    </row>
    <row r="7">
      <c r="A7" s="7" t="inlineStr">
        <is>
          <t>F2 → 1 → 2 → 2</t>
        </is>
      </c>
      <c r="B7" s="9" t="inlineStr">
        <is>
          <t>銷售作業</t>
        </is>
      </c>
      <c r="C7" s="9" t="inlineStr">
        <is>
          <t>銷貨作業</t>
        </is>
      </c>
      <c r="D7" s="7" t="inlineStr">
        <is>
          <t>銷貨管理</t>
        </is>
      </c>
      <c r="E7" s="10" t="inlineStr">
        <is>
          <t>已上線</t>
        </is>
      </c>
      <c r="F7" s="8" t="inlineStr">
        <is>
          <t>/dashboard/sale/so</t>
        </is>
      </c>
      <c r="G7" s="9" t="inlineStr"/>
    </row>
    <row r="8">
      <c r="A8" s="7" t="inlineStr">
        <is>
          <t>F2 → 3 → 1 → 1</t>
        </is>
      </c>
      <c r="B8" s="9" t="inlineStr">
        <is>
          <t>倉庫作業</t>
        </is>
      </c>
      <c r="C8" s="9" t="inlineStr">
        <is>
          <t>入庫作業</t>
        </is>
      </c>
      <c r="D8" s="7" t="inlineStr">
        <is>
          <t>進貨驗收</t>
        </is>
      </c>
      <c r="E8" s="10" t="inlineStr">
        <is>
          <t>已上線</t>
        </is>
      </c>
      <c r="F8" s="8" t="inlineStr">
        <is>
          <t>/dashboard/inventory/receiving</t>
        </is>
      </c>
      <c r="G8" s="9" t="inlineStr">
        <is>
          <t>現場殼</t>
        </is>
      </c>
    </row>
    <row r="9">
      <c r="A9" s="15" t="inlineStr">
        <is>
          <t>F2 → 3 → 1 → 2</t>
        </is>
      </c>
      <c r="B9" s="16" t="inlineStr">
        <is>
          <t>倉庫作業</t>
        </is>
      </c>
      <c r="C9" s="16" t="inlineStr">
        <is>
          <t>入庫作業</t>
        </is>
      </c>
      <c r="D9" s="18" t="inlineStr">
        <is>
          <t>調撥驗收</t>
        </is>
      </c>
      <c r="E9" s="17" t="inlineStr">
        <is>
          <t>建置中</t>
        </is>
      </c>
      <c r="F9" s="18" t="inlineStr"/>
      <c r="G9" s="16" t="inlineStr"/>
    </row>
    <row r="10">
      <c r="A10" s="15" t="inlineStr">
        <is>
          <t>F2 → 3 → 1 → 3</t>
        </is>
      </c>
      <c r="B10" s="16" t="inlineStr">
        <is>
          <t>倉庫作業</t>
        </is>
      </c>
      <c r="C10" s="16" t="inlineStr">
        <is>
          <t>入庫作業</t>
        </is>
      </c>
      <c r="D10" s="18" t="inlineStr">
        <is>
          <t>銷退驗收</t>
        </is>
      </c>
      <c r="E10" s="17" t="inlineStr">
        <is>
          <t>建置中</t>
        </is>
      </c>
      <c r="F10" s="18" t="inlineStr"/>
      <c r="G10" s="16" t="inlineStr"/>
    </row>
    <row r="11">
      <c r="A11" s="7" t="inlineStr">
        <is>
          <t>F2 → 3 → 2 → 1</t>
        </is>
      </c>
      <c r="B11" s="9" t="inlineStr">
        <is>
          <t>倉庫作業</t>
        </is>
      </c>
      <c r="C11" s="9" t="inlineStr">
        <is>
          <t>出庫作業</t>
        </is>
      </c>
      <c r="D11" s="7" t="inlineStr">
        <is>
          <t>撿貨</t>
        </is>
      </c>
      <c r="E11" s="10" t="inlineStr">
        <is>
          <t>已上線</t>
        </is>
      </c>
      <c r="F11" s="8" t="inlineStr">
        <is>
          <t>/dashboard/inventory/picking</t>
        </is>
      </c>
      <c r="G11" s="9" t="inlineStr">
        <is>
          <t>現場殼</t>
        </is>
      </c>
    </row>
    <row r="12">
      <c r="A12" s="7" t="inlineStr">
        <is>
          <t>F2 → 3 → 2 → 2</t>
        </is>
      </c>
      <c r="B12" s="9" t="inlineStr">
        <is>
          <t>倉庫作業</t>
        </is>
      </c>
      <c r="C12" s="9" t="inlineStr">
        <is>
          <t>出庫作業</t>
        </is>
      </c>
      <c r="D12" s="7" t="inlineStr">
        <is>
          <t>包貨</t>
        </is>
      </c>
      <c r="E12" s="10" t="inlineStr">
        <is>
          <t>已上線</t>
        </is>
      </c>
      <c r="F12" s="8" t="inlineStr">
        <is>
          <t>/dashboard/inventory/packing</t>
        </is>
      </c>
      <c r="G12" s="9" t="inlineStr">
        <is>
          <t>現場殼</t>
        </is>
      </c>
    </row>
    <row r="13">
      <c r="A13" s="7" t="inlineStr">
        <is>
          <t>F2 → 3 → 2 → 3</t>
        </is>
      </c>
      <c r="B13" s="9" t="inlineStr">
        <is>
          <t>倉庫作業</t>
        </is>
      </c>
      <c r="C13" s="9" t="inlineStr">
        <is>
          <t>出庫作業</t>
        </is>
      </c>
      <c r="D13" s="7" t="inlineStr">
        <is>
          <t>出貨</t>
        </is>
      </c>
      <c r="E13" s="10" t="inlineStr">
        <is>
          <t>已上線</t>
        </is>
      </c>
      <c r="F13" s="8" t="inlineStr">
        <is>
          <t>/dashboard/inventory/ship-zones</t>
        </is>
      </c>
      <c r="G13" s="9" t="inlineStr">
        <is>
          <t>現場殼</t>
        </is>
      </c>
    </row>
    <row r="14">
      <c r="A14" s="7" t="inlineStr">
        <is>
          <t>F2 → 3 → 3 → 1</t>
        </is>
      </c>
      <c r="B14" s="9" t="inlineStr">
        <is>
          <t>倉庫作業</t>
        </is>
      </c>
      <c r="C14" s="9" t="inlineStr">
        <is>
          <t>調撥作業</t>
        </is>
      </c>
      <c r="D14" s="7" t="inlineStr">
        <is>
          <t>調撥單</t>
        </is>
      </c>
      <c r="E14" s="10" t="inlineStr">
        <is>
          <t>已上線</t>
        </is>
      </c>
      <c r="F14" s="8" t="inlineStr">
        <is>
          <t>/dashboard/inventory/transfer</t>
        </is>
      </c>
      <c r="G14" s="9" t="inlineStr"/>
    </row>
    <row r="15">
      <c r="A15" s="7" t="inlineStr">
        <is>
          <t>F2 → 3 → 3 → 2</t>
        </is>
      </c>
      <c r="B15" s="9" t="inlineStr">
        <is>
          <t>倉庫作業</t>
        </is>
      </c>
      <c r="C15" s="9" t="inlineStr">
        <is>
          <t>調撥作業</t>
        </is>
      </c>
      <c r="D15" s="7" t="inlineStr">
        <is>
          <t>自動補貨設定</t>
        </is>
      </c>
      <c r="E15" s="10" t="inlineStr">
        <is>
          <t>已上線</t>
        </is>
      </c>
      <c r="F15" s="8" t="inlineStr">
        <is>
          <t>/dashboard/inventory/auto-replenish</t>
        </is>
      </c>
      <c r="G15" s="9" t="inlineStr"/>
    </row>
    <row r="16">
      <c r="A16" s="7" t="inlineStr">
        <is>
          <t>F2 → 3 → 4 → 1</t>
        </is>
      </c>
      <c r="B16" s="9" t="inlineStr">
        <is>
          <t>倉庫作業</t>
        </is>
      </c>
      <c r="C16" s="9" t="inlineStr">
        <is>
          <t>盤點作業</t>
        </is>
      </c>
      <c r="D16" s="7" t="inlineStr">
        <is>
          <t>盤點單</t>
        </is>
      </c>
      <c r="E16" s="10" t="inlineStr">
        <is>
          <t>已上線</t>
        </is>
      </c>
      <c r="F16" s="8" t="inlineStr">
        <is>
          <t>/dashboard/inventory/stock-take</t>
        </is>
      </c>
      <c r="G16" s="9" t="inlineStr">
        <is>
          <t>現場殼</t>
        </is>
      </c>
    </row>
    <row r="17">
      <c r="A17" s="15" t="inlineStr">
        <is>
          <t>F2 → 3 → 4 → 2</t>
        </is>
      </c>
      <c r="B17" s="16" t="inlineStr">
        <is>
          <t>倉庫作業</t>
        </is>
      </c>
      <c r="C17" s="16" t="inlineStr">
        <is>
          <t>盤點作業</t>
        </is>
      </c>
      <c r="D17" s="18" t="inlineStr">
        <is>
          <t>盤點差異表</t>
        </is>
      </c>
      <c r="E17" s="17" t="inlineStr">
        <is>
          <t>建置中</t>
        </is>
      </c>
      <c r="F17" s="18" t="inlineStr"/>
      <c r="G17" s="16" t="inlineStr"/>
    </row>
    <row r="18">
      <c r="A18" s="7" t="inlineStr">
        <is>
          <t>F2 → 3 → 5 → 1</t>
        </is>
      </c>
      <c r="B18" s="9" t="inlineStr">
        <is>
          <t>倉庫作業</t>
        </is>
      </c>
      <c r="C18" s="9" t="inlineStr">
        <is>
          <t>重組分解</t>
        </is>
      </c>
      <c r="D18" s="7" t="inlineStr">
        <is>
          <t>重組分解單</t>
        </is>
      </c>
      <c r="E18" s="10" t="inlineStr">
        <is>
          <t>已上線</t>
        </is>
      </c>
      <c r="F18" s="8" t="inlineStr">
        <is>
          <t>/dashboard/inventory/conversion</t>
        </is>
      </c>
      <c r="G18" s="9" t="inlineStr"/>
    </row>
    <row r="19">
      <c r="A19" s="7" t="inlineStr">
        <is>
          <t>F2 → 3 → 5 → 2</t>
        </is>
      </c>
      <c r="B19" s="9" t="inlineStr">
        <is>
          <t>倉庫作業</t>
        </is>
      </c>
      <c r="C19" s="9" t="inlineStr">
        <is>
          <t>重組分解</t>
        </is>
      </c>
      <c r="D19" s="7" t="inlineStr">
        <is>
          <t>報廢申請</t>
        </is>
      </c>
      <c r="E19" s="10" t="inlineStr">
        <is>
          <t>已上線</t>
        </is>
      </c>
      <c r="F19" s="8" t="inlineStr">
        <is>
          <t>/dashboard/inventory/disposal</t>
        </is>
      </c>
      <c r="G19" s="9" t="inlineStr"/>
    </row>
    <row r="20">
      <c r="A20" s="7" t="inlineStr">
        <is>
          <t>F2 → 3 → 6 → 1</t>
        </is>
      </c>
      <c r="B20" s="9" t="inlineStr">
        <is>
          <t>倉庫作業</t>
        </is>
      </c>
      <c r="C20" s="9" t="inlineStr">
        <is>
          <t>異常回報</t>
        </is>
      </c>
      <c r="D20" s="7" t="inlineStr">
        <is>
          <t>誤差回報</t>
        </is>
      </c>
      <c r="E20" s="10" t="inlineStr">
        <is>
          <t>已上線</t>
        </is>
      </c>
      <c r="F20" s="8" t="inlineStr">
        <is>
          <t>/dashboard/inventory/issue-report</t>
        </is>
      </c>
      <c r="G20" s="9" t="inlineStr"/>
    </row>
    <row r="21">
      <c r="A21" s="15" t="inlineStr">
        <is>
          <t>F2 → 3 → 6 → 2</t>
        </is>
      </c>
      <c r="B21" s="16" t="inlineStr">
        <is>
          <t>倉庫作業</t>
        </is>
      </c>
      <c r="C21" s="16" t="inlineStr">
        <is>
          <t>異常回報</t>
        </is>
      </c>
      <c r="D21" s="18" t="inlineStr">
        <is>
          <t>品質異常</t>
        </is>
      </c>
      <c r="E21" s="17" t="inlineStr">
        <is>
          <t>建置中</t>
        </is>
      </c>
      <c r="F21" s="18" t="inlineStr"/>
      <c r="G21" s="16" t="inlineStr"/>
    </row>
    <row r="22">
      <c r="A22" s="7" t="inlineStr">
        <is>
          <t>F2 → 3 → 7 → 1</t>
        </is>
      </c>
      <c r="B22" s="9" t="inlineStr">
        <is>
          <t>倉庫作業</t>
        </is>
      </c>
      <c r="C22" s="9" t="inlineStr">
        <is>
          <t>庫位管理</t>
        </is>
      </c>
      <c r="D22" s="7" t="inlineStr">
        <is>
          <t>庫位</t>
        </is>
      </c>
      <c r="E22" s="10" t="inlineStr">
        <is>
          <t>已上線</t>
        </is>
      </c>
      <c r="F22" s="8" t="inlineStr">
        <is>
          <t>/dashboard/master/location</t>
        </is>
      </c>
      <c r="G22" s="9" t="inlineStr"/>
    </row>
    <row r="23">
      <c r="A23" s="7" t="inlineStr">
        <is>
          <t>F2 → 3 → 7 → 2</t>
        </is>
      </c>
      <c r="B23" s="9" t="inlineStr">
        <is>
          <t>倉庫作業</t>
        </is>
      </c>
      <c r="C23" s="9" t="inlineStr">
        <is>
          <t>庫位管理</t>
        </is>
      </c>
      <c r="D23" s="7" t="inlineStr">
        <is>
          <t>貨架</t>
        </is>
      </c>
      <c r="E23" s="10" t="inlineStr">
        <is>
          <t>已上線</t>
        </is>
      </c>
      <c r="F23" s="8" t="inlineStr">
        <is>
          <t>/dashboard/master/warehouse-rack</t>
        </is>
      </c>
      <c r="G23" s="9" t="inlineStr"/>
    </row>
    <row r="24">
      <c r="A24" s="7" t="inlineStr">
        <is>
          <t>F2 → 3 → 7 → 3</t>
        </is>
      </c>
      <c r="B24" s="9" t="inlineStr">
        <is>
          <t>倉庫作業</t>
        </is>
      </c>
      <c r="C24" s="9" t="inlineStr">
        <is>
          <t>庫位管理</t>
        </is>
      </c>
      <c r="D24" s="7" t="inlineStr">
        <is>
          <t>區域</t>
        </is>
      </c>
      <c r="E24" s="10" t="inlineStr">
        <is>
          <t>已上線</t>
        </is>
      </c>
      <c r="F24" s="8" t="inlineStr">
        <is>
          <t>/dashboard/master/warehouse-zone</t>
        </is>
      </c>
      <c r="G24" s="9" t="inlineStr"/>
    </row>
    <row r="25">
      <c r="A25" s="7" t="inlineStr">
        <is>
          <t>F2 → 3 → 7 → 4</t>
        </is>
      </c>
      <c r="B25" s="9" t="inlineStr">
        <is>
          <t>倉庫作業</t>
        </is>
      </c>
      <c r="C25" s="9" t="inlineStr">
        <is>
          <t>庫位管理</t>
        </is>
      </c>
      <c r="D25" s="7" t="inlineStr">
        <is>
          <t>據點架構圖</t>
        </is>
      </c>
      <c r="E25" s="10" t="inlineStr">
        <is>
          <t>已上線</t>
        </is>
      </c>
      <c r="F25" s="8" t="inlineStr">
        <is>
          <t>/dashboard/master/location-structure</t>
        </is>
      </c>
      <c r="G25" s="9" t="inlineStr"/>
    </row>
    <row r="26">
      <c r="A26" s="7" t="inlineStr">
        <is>
          <t>F2 → 3 → 8 → 1</t>
        </is>
      </c>
      <c r="B26" s="9" t="inlineStr">
        <is>
          <t>倉庫作業</t>
        </is>
      </c>
      <c r="C26" s="9" t="inlineStr">
        <is>
          <t>倉庫分析</t>
        </is>
      </c>
      <c r="D26" s="7" t="inlineStr">
        <is>
          <t>庫存報表</t>
        </is>
      </c>
      <c r="E26" s="10" t="inlineStr">
        <is>
          <t>已上線</t>
        </is>
      </c>
      <c r="F26" s="8" t="inlineStr">
        <is>
          <t>/dashboard/report/inventory</t>
        </is>
      </c>
      <c r="G26" s="9" t="inlineStr"/>
    </row>
    <row r="27">
      <c r="A27" s="7" t="inlineStr">
        <is>
          <t>F2 → 3 → 8 → 2</t>
        </is>
      </c>
      <c r="B27" s="9" t="inlineStr">
        <is>
          <t>倉庫作業</t>
        </is>
      </c>
      <c r="C27" s="9" t="inlineStr">
        <is>
          <t>倉庫分析</t>
        </is>
      </c>
      <c r="D27" s="7" t="inlineStr">
        <is>
          <t>週轉分析</t>
        </is>
      </c>
      <c r="E27" s="10" t="inlineStr">
        <is>
          <t>已上線</t>
        </is>
      </c>
      <c r="F27" s="8" t="inlineStr">
        <is>
          <t>/dashboard/report/warehouse-staff/turnover</t>
        </is>
      </c>
      <c r="G27" s="9" t="inlineStr"/>
    </row>
    <row r="28">
      <c r="A28" s="7" t="inlineStr">
        <is>
          <t>F2 → 3 → 8 → 3</t>
        </is>
      </c>
      <c r="B28" s="9" t="inlineStr">
        <is>
          <t>倉庫作業</t>
        </is>
      </c>
      <c r="C28" s="9" t="inlineStr">
        <is>
          <t>倉庫分析</t>
        </is>
      </c>
      <c r="D28" s="7" t="inlineStr">
        <is>
          <t>呆滯料</t>
        </is>
      </c>
      <c r="E28" s="10" t="inlineStr">
        <is>
          <t>已上線</t>
        </is>
      </c>
      <c r="F28" s="8" t="inlineStr">
        <is>
          <t>/dashboard/report/warehouse-staff/dormant</t>
        </is>
      </c>
      <c r="G28" s="9" t="inlineStr"/>
    </row>
    <row r="29">
      <c r="A29" s="7" t="inlineStr">
        <is>
          <t>F2 → 5 → 7 → 1</t>
        </is>
      </c>
      <c r="B29" s="9" t="inlineStr">
        <is>
          <t>產品作業</t>
        </is>
      </c>
      <c r="C29" s="9" t="inlineStr">
        <is>
          <t>替代料管理</t>
        </is>
      </c>
      <c r="D29" s="7" t="inlineStr">
        <is>
          <t>通用表</t>
        </is>
      </c>
      <c r="E29" s="10" t="inlineStr">
        <is>
          <t>已上線</t>
        </is>
      </c>
      <c r="F29" s="8" t="inlineStr">
        <is>
          <t>/dashboard/master/universal-group</t>
        </is>
      </c>
      <c r="G29" s="9" t="inlineStr"/>
    </row>
    <row r="30">
      <c r="A30" s="7" t="inlineStr">
        <is>
          <t>F2 → 5 → 7 → 2</t>
        </is>
      </c>
      <c r="B30" s="9" t="inlineStr">
        <is>
          <t>產品作業</t>
        </is>
      </c>
      <c r="C30" s="9" t="inlineStr">
        <is>
          <t>替代料管理</t>
        </is>
      </c>
      <c r="D30" s="7" t="inlineStr">
        <is>
          <t>改版表</t>
        </is>
      </c>
      <c r="E30" s="10" t="inlineStr">
        <is>
          <t>已上線</t>
        </is>
      </c>
      <c r="F30" s="8" t="inlineStr">
        <is>
          <t>/dashboard/master/part-relation</t>
        </is>
      </c>
      <c r="G30" s="9" t="inlineStr"/>
    </row>
    <row r="31">
      <c r="A31" s="7" t="inlineStr">
        <is>
          <t>F2 → 5 → 7 → 3</t>
        </is>
      </c>
      <c r="B31" s="9" t="inlineStr">
        <is>
          <t>產品作業</t>
        </is>
      </c>
      <c r="C31" s="9" t="inlineStr">
        <is>
          <t>替代料管理</t>
        </is>
      </c>
      <c r="D31" s="7" t="inlineStr">
        <is>
          <t>適配車型</t>
        </is>
      </c>
      <c r="E31" s="10" t="inlineStr">
        <is>
          <t>已上線</t>
        </is>
      </c>
      <c r="F31" s="8" t="inlineStr">
        <is>
          <t>/dashboard/master/part-model</t>
        </is>
      </c>
      <c r="G31" s="9" t="inlineStr">
        <is>
          <t>汽配專屬，換行業整層移除</t>
        </is>
      </c>
    </row>
    <row r="32">
      <c r="A32" s="7" t="inlineStr">
        <is>
          <t>F2 → 8 → 4 → 1</t>
        </is>
      </c>
      <c r="B32" s="9" t="inlineStr">
        <is>
          <t>經營作業</t>
        </is>
      </c>
      <c r="C32" s="9" t="inlineStr">
        <is>
          <t>經營報表</t>
        </is>
      </c>
      <c r="D32" s="7" t="inlineStr">
        <is>
          <t>損益表</t>
        </is>
      </c>
      <c r="E32" s="10" t="inlineStr">
        <is>
          <t>已上線</t>
        </is>
      </c>
      <c r="F32" s="8" t="inlineStr">
        <is>
          <t>/dashboard/report/pnl</t>
        </is>
      </c>
      <c r="G32" s="9" t="inlineStr"/>
    </row>
    <row r="33">
      <c r="A33" s="7" t="inlineStr">
        <is>
          <t>F2 → 8 → 4 → 2</t>
        </is>
      </c>
      <c r="B33" s="9" t="inlineStr">
        <is>
          <t>經營作業</t>
        </is>
      </c>
      <c r="C33" s="9" t="inlineStr">
        <is>
          <t>經營報表</t>
        </is>
      </c>
      <c r="D33" s="7" t="inlineStr">
        <is>
          <t>營運報表</t>
        </is>
      </c>
      <c r="E33" s="10" t="inlineStr">
        <is>
          <t>已上線</t>
        </is>
      </c>
      <c r="F33" s="8" t="inlineStr">
        <is>
          <t>/dashboard/report/ops</t>
        </is>
      </c>
      <c r="G33" s="9" t="inlineStr"/>
    </row>
    <row r="34">
      <c r="A34" s="7" t="inlineStr">
        <is>
          <t>F2 → 8 → 4 → 3</t>
        </is>
      </c>
      <c r="B34" s="9" t="inlineStr">
        <is>
          <t>經營作業</t>
        </is>
      </c>
      <c r="C34" s="9" t="inlineStr">
        <is>
          <t>經營報表</t>
        </is>
      </c>
      <c r="D34" s="7" t="inlineStr">
        <is>
          <t>部門績效</t>
        </is>
      </c>
      <c r="E34" s="10" t="inlineStr">
        <is>
          <t>已上線</t>
        </is>
      </c>
      <c r="F34" s="8" t="inlineStr">
        <is>
          <t>/dashboard/report/owner/dept-perf</t>
        </is>
      </c>
      <c r="G34" s="9" t="inlineStr"/>
    </row>
    <row r="35">
      <c r="A35" s="7" t="inlineStr">
        <is>
          <t>F2 → 8 → 4 → 4</t>
        </is>
      </c>
      <c r="B35" s="9" t="inlineStr">
        <is>
          <t>經營作業</t>
        </is>
      </c>
      <c r="C35" s="9" t="inlineStr">
        <is>
          <t>經營報表</t>
        </is>
      </c>
      <c r="D35" s="7" t="inlineStr">
        <is>
          <t>跨模組分析</t>
        </is>
      </c>
      <c r="E35" s="10" t="inlineStr">
        <is>
          <t>已上線</t>
        </is>
      </c>
      <c r="F35" s="8" t="inlineStr">
        <is>
          <t>/dashboard/report/strategy/cross-module</t>
        </is>
      </c>
      <c r="G35" s="9" t="inlineStr"/>
    </row>
    <row r="36">
      <c r="A36" s="7" t="inlineStr">
        <is>
          <t>F2 → 8 → 4 → 5</t>
        </is>
      </c>
      <c r="B36" s="9" t="inlineStr">
        <is>
          <t>經營作業</t>
        </is>
      </c>
      <c r="C36" s="9" t="inlineStr">
        <is>
          <t>經營報表</t>
        </is>
      </c>
      <c r="D36" s="7" t="inlineStr">
        <is>
          <t>BCG 矩陣</t>
        </is>
      </c>
      <c r="E36" s="10" t="inlineStr">
        <is>
          <t>已上線</t>
        </is>
      </c>
      <c r="F36" s="8" t="inlineStr">
        <is>
          <t>/dashboard/report/strategy/bcg-matrix</t>
        </is>
      </c>
      <c r="G36" s="9" t="inlineStr"/>
    </row>
    <row r="37">
      <c r="A37" s="7" t="inlineStr">
        <is>
          <t>F2 → 9 → 1 → 1</t>
        </is>
      </c>
      <c r="B37" s="9" t="inlineStr">
        <is>
          <t>行政作業</t>
        </is>
      </c>
      <c r="C37" s="9" t="inlineStr">
        <is>
          <t>人員資料</t>
        </is>
      </c>
      <c r="D37" s="7" t="inlineStr">
        <is>
          <t>員工資料</t>
        </is>
      </c>
      <c r="E37" s="10" t="inlineStr">
        <is>
          <t>已上線</t>
        </is>
      </c>
      <c r="F37" s="8" t="inlineStr">
        <is>
          <t>/dashboard/hr/employee</t>
        </is>
      </c>
      <c r="G37" s="9" t="inlineStr"/>
    </row>
    <row r="38">
      <c r="A38" s="7" t="inlineStr">
        <is>
          <t>F2 → 9 → 1 → 2</t>
        </is>
      </c>
      <c r="B38" s="9" t="inlineStr">
        <is>
          <t>行政作業</t>
        </is>
      </c>
      <c r="C38" s="9" t="inlineStr">
        <is>
          <t>人員資料</t>
        </is>
      </c>
      <c r="D38" s="7" t="inlineStr">
        <is>
          <t>出勤</t>
        </is>
      </c>
      <c r="E38" s="10" t="inlineStr">
        <is>
          <t>已上線</t>
        </is>
      </c>
      <c r="F38" s="8" t="inlineStr">
        <is>
          <t>/dashboard/hr/attendance</t>
        </is>
      </c>
      <c r="G38" s="9" t="inlineStr"/>
    </row>
    <row r="39">
      <c r="A39" s="7" t="inlineStr">
        <is>
          <t>F2 → 9 → 1 → 3</t>
        </is>
      </c>
      <c r="B39" s="9" t="inlineStr">
        <is>
          <t>行政作業</t>
        </is>
      </c>
      <c r="C39" s="9" t="inlineStr">
        <is>
          <t>人員資料</t>
        </is>
      </c>
      <c r="D39" s="7" t="inlineStr">
        <is>
          <t>請假</t>
        </is>
      </c>
      <c r="E39" s="10" t="inlineStr">
        <is>
          <t>已上線</t>
        </is>
      </c>
      <c r="F39" s="8" t="inlineStr">
        <is>
          <t>/dashboard/hr/leave</t>
        </is>
      </c>
      <c r="G39" s="9" t="inlineStr"/>
    </row>
    <row r="40">
      <c r="A40" s="7" t="inlineStr">
        <is>
          <t>F2 → 9 → 1 → 4</t>
        </is>
      </c>
      <c r="B40" s="9" t="inlineStr">
        <is>
          <t>行政作業</t>
        </is>
      </c>
      <c r="C40" s="9" t="inlineStr">
        <is>
          <t>人員資料</t>
        </is>
      </c>
      <c r="D40" s="7" t="inlineStr">
        <is>
          <t>薪資</t>
        </is>
      </c>
      <c r="E40" s="10" t="inlineStr">
        <is>
          <t>已上線</t>
        </is>
      </c>
      <c r="F40" s="8" t="inlineStr">
        <is>
          <t>/dashboard/hr/salary</t>
        </is>
      </c>
      <c r="G40" s="9" t="inlineStr"/>
    </row>
    <row r="41">
      <c r="A41" s="7" t="inlineStr">
        <is>
          <t>F2 → 9 → 8 → 1</t>
        </is>
      </c>
      <c r="B41" s="9" t="inlineStr">
        <is>
          <t>行政作業</t>
        </is>
      </c>
      <c r="C41" s="9" t="inlineStr">
        <is>
          <t>字典設定</t>
        </is>
      </c>
      <c r="D41" s="7" t="inlineStr">
        <is>
          <t>國家</t>
        </is>
      </c>
      <c r="E41" s="10" t="inlineStr">
        <is>
          <t>已上線</t>
        </is>
      </c>
      <c r="F41" s="8" t="inlineStr">
        <is>
          <t>/dashboard/master/country</t>
        </is>
      </c>
      <c r="G41" s="9" t="inlineStr"/>
    </row>
    <row r="42">
      <c r="A42" s="7" t="inlineStr">
        <is>
          <t>F2 → 9 → 8 → 2</t>
        </is>
      </c>
      <c r="B42" s="9" t="inlineStr">
        <is>
          <t>行政作業</t>
        </is>
      </c>
      <c r="C42" s="9" t="inlineStr">
        <is>
          <t>字典設定</t>
        </is>
      </c>
      <c r="D42" s="7" t="inlineStr">
        <is>
          <t>郵遞區號</t>
        </is>
      </c>
      <c r="E42" s="10" t="inlineStr">
        <is>
          <t>已上線</t>
        </is>
      </c>
      <c r="F42" s="8" t="inlineStr">
        <is>
          <t>/dashboard/master/zipcode</t>
        </is>
      </c>
      <c r="G42" s="9" t="inlineStr"/>
    </row>
    <row r="43">
      <c r="A43" s="7" t="inlineStr">
        <is>
          <t>F2 → 9 → 8 → 3</t>
        </is>
      </c>
      <c r="B43" s="9" t="inlineStr">
        <is>
          <t>行政作業</t>
        </is>
      </c>
      <c r="C43" s="9" t="inlineStr">
        <is>
          <t>字典設定</t>
        </is>
      </c>
      <c r="D43" s="7" t="inlineStr">
        <is>
          <t>幣別</t>
        </is>
      </c>
      <c r="E43" s="10" t="inlineStr">
        <is>
          <t>已上線</t>
        </is>
      </c>
      <c r="F43" s="8" t="inlineStr">
        <is>
          <t>/dashboard/master/currency</t>
        </is>
      </c>
      <c r="G43" s="9" t="inlineStr"/>
    </row>
    <row r="44">
      <c r="A44" s="7" t="inlineStr">
        <is>
          <t>F2 → 9 → 8 → 4</t>
        </is>
      </c>
      <c r="B44" s="9" t="inlineStr">
        <is>
          <t>行政作業</t>
        </is>
      </c>
      <c r="C44" s="9" t="inlineStr">
        <is>
          <t>字典設定</t>
        </is>
      </c>
      <c r="D44" s="7" t="inlineStr">
        <is>
          <t>注音輔助</t>
        </is>
      </c>
      <c r="E44" s="10" t="inlineStr">
        <is>
          <t>已上線</t>
        </is>
      </c>
      <c r="F44" s="8" t="inlineStr">
        <is>
          <t>/dashboard/master/phonetic-dictionary</t>
        </is>
      </c>
      <c r="G44" s="9" t="inlineStr"/>
    </row>
  </sheetData>
  <autoFilter ref="A3:G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6" customWidth="1" min="4" max="4"/>
    <col width="26" customWidth="1" min="5" max="5"/>
    <col width="26" customWidth="1" min="6" max="6"/>
    <col width="46" customWidth="1" min="7" max="7"/>
  </cols>
  <sheetData>
    <row r="1">
      <c r="A1" s="1" t="inlineStr">
        <is>
          <t>數字鍵盤整鍵複製＋頂欄收進九宮格（2026-08-03 新方向）</t>
        </is>
      </c>
    </row>
    <row r="2">
      <c r="A2" s="19" t="inlineStr">
        <is>
          <t>黃底＝請執行長填。1–9 已被角色佔滿且終身凍結，所以頂欄那四個功能只能落在數字鍵盤的其餘實體鍵上。</t>
        </is>
      </c>
    </row>
    <row r="4">
      <c r="A4" s="6" t="inlineStr">
        <is>
          <t>實體鍵</t>
        </is>
      </c>
      <c r="B4" s="6" t="inlineStr">
        <is>
          <t>鍵盤位置</t>
        </is>
      </c>
      <c r="C4" s="6" t="inlineStr">
        <is>
          <t>目前用途</t>
        </is>
      </c>
      <c r="D4" s="6" t="inlineStr">
        <is>
          <t>現況</t>
        </is>
      </c>
      <c r="E4" s="6" t="inlineStr">
        <is>
          <t>我的建議</t>
        </is>
      </c>
      <c r="F4" s="6" t="inlineStr">
        <is>
          <t>執行長裁示</t>
        </is>
      </c>
      <c r="G4" s="6" t="inlineStr">
        <is>
          <t>理由／備註</t>
        </is>
      </c>
    </row>
    <row r="5">
      <c r="A5" s="7" t="inlineStr">
        <is>
          <t>F2</t>
        </is>
      </c>
      <c r="B5" s="8" t="inlineStr">
        <is>
          <t>功能鍵列</t>
        </is>
      </c>
      <c r="C5" s="9" t="inlineStr">
        <is>
          <t>開／關九宮格</t>
        </is>
      </c>
      <c r="D5" s="10" t="inlineStr">
        <is>
          <t>已實作</t>
        </is>
      </c>
      <c r="E5" s="9" t="inlineStr">
        <is>
          <t>維持</t>
        </is>
      </c>
      <c r="F5" s="20" t="inlineStr">
        <is>
          <t>✅ 2026-08-03 維持</t>
        </is>
      </c>
      <c r="G5" s="9" t="inlineStr">
        <is>
          <t>全系統唯一的全域鍵，刻意只有一個</t>
        </is>
      </c>
    </row>
    <row r="6">
      <c r="A6" s="7" t="inlineStr">
        <is>
          <t>1–9</t>
        </is>
      </c>
      <c r="B6" s="8" t="inlineStr">
        <is>
          <t>數字鍵盤主區</t>
        </is>
      </c>
      <c r="C6" s="9" t="inlineStr">
        <is>
          <t>選角色／功能／子功能</t>
        </is>
      </c>
      <c r="D6" s="10" t="inlineStr">
        <is>
          <t>已實作</t>
        </is>
      </c>
      <c r="E6" s="9" t="inlineStr">
        <is>
          <t>維持</t>
        </is>
      </c>
      <c r="F6" s="20" t="inlineStr">
        <is>
          <t>✅ 2026-08-03 維持</t>
        </is>
      </c>
      <c r="G6" s="9" t="inlineStr">
        <is>
          <t>號碼凍結，⛔ 不可挪作他用</t>
        </is>
      </c>
    </row>
    <row r="7">
      <c r="A7" s="7" t="inlineStr">
        <is>
          <t>0</t>
        </is>
      </c>
      <c r="B7" s="8" t="inlineStr">
        <is>
          <t>數字鍵盤下排長鍵</t>
        </is>
      </c>
      <c r="C7" s="9" t="inlineStr">
        <is>
          <t>第一層＝回首頁；其餘層＝回上一層</t>
        </is>
      </c>
      <c r="D7" s="10" t="inlineStr">
        <is>
          <t>要改</t>
        </is>
      </c>
      <c r="E7" s="9" t="inlineStr">
        <is>
          <t>照裁示改</t>
        </is>
      </c>
      <c r="F7" s="20" t="inlineStr">
        <is>
          <t>✅ 2026-08-03 拍板</t>
        </is>
      </c>
      <c r="G7" s="9" t="inlineStr">
        <is>
          <t>位置最好按，給最常用的「退一步」。退到底（第一層）再按就離開九宮格、回工作檯</t>
        </is>
      </c>
    </row>
    <row r="8">
      <c r="A8" s="7" t="inlineStr">
        <is>
          <t>Esc</t>
        </is>
      </c>
      <c r="B8" s="8" t="inlineStr">
        <is>
          <t>左上角</t>
        </is>
      </c>
      <c r="C8" s="9" t="inlineStr">
        <is>
          <t>關閉九宮格</t>
        </is>
      </c>
      <c r="D8" s="10" t="inlineStr">
        <is>
          <t>已實作</t>
        </is>
      </c>
      <c r="E8" s="9" t="inlineStr">
        <is>
          <t>維持</t>
        </is>
      </c>
      <c r="F8" s="20" t="inlineStr">
        <is>
          <t>✅ 2026-08-03 維持</t>
        </is>
      </c>
      <c r="G8" s="9" t="inlineStr">
        <is>
          <t>與 0 分工：0 退一層、Esc 直接整個關掉</t>
        </is>
      </c>
    </row>
    <row r="9">
      <c r="A9" s="7" t="inlineStr">
        <is>
          <t>.</t>
        </is>
      </c>
      <c r="B9" s="8" t="inlineStr">
        <is>
          <t>數字鍵盤右下</t>
        </is>
      </c>
      <c r="C9" s="9" t="inlineStr">
        <is>
          <t>資訊</t>
        </is>
      </c>
      <c r="D9" s="10" t="inlineStr">
        <is>
          <t>要做</t>
        </is>
      </c>
      <c r="E9" s="9" t="inlineStr">
        <is>
          <t>個人資訊／行事曆／佈告欄</t>
        </is>
      </c>
      <c r="F9" s="20" t="inlineStr">
        <is>
          <t>✅ 2026-08-03 拍板・名稱定為「資訊」</t>
        </is>
      </c>
      <c r="G9" s="9" t="inlineStr">
        <is>
          <t>走同一套九宮格結構＝等於第十個角色，⛔ 不另發明選單</t>
        </is>
      </c>
    </row>
    <row r="10">
      <c r="A10" s="7" t="inlineStr">
        <is>
          <t>Enter</t>
        </is>
      </c>
      <c r="B10" s="8" t="inlineStr">
        <is>
          <t>數字鍵盤右下長鍵</t>
        </is>
      </c>
      <c r="C10" s="9" t="inlineStr">
        <is>
          <t>確認</t>
        </is>
      </c>
      <c r="D10" s="10" t="inlineStr">
        <is>
          <t>要做</t>
        </is>
      </c>
      <c r="E10" s="9" t="inlineStr">
        <is>
          <t>確認進入目前選取的格</t>
        </is>
      </c>
      <c r="F10" s="20" t="inlineStr">
        <is>
          <t>✅ 2026-08-03 拍板</t>
        </is>
      </c>
      <c r="G10" s="9" t="inlineStr">
        <is>
          <t>滑鼠使用者用點的，鍵盤使用者用 Enter</t>
        </is>
      </c>
    </row>
    <row r="11">
      <c r="A11" s="7" t="inlineStr">
        <is>
          <t>+</t>
        </is>
      </c>
      <c r="B11" s="8" t="inlineStr">
        <is>
          <t>數字鍵盤右側</t>
        </is>
      </c>
      <c r="C11" s="9" t="inlineStr">
        <is>
          <t>任務／通知按鈕</t>
        </is>
      </c>
      <c r="D11" s="10" t="inlineStr">
        <is>
          <t>要做</t>
        </is>
      </c>
      <c r="E11" s="9" t="inlineStr">
        <is>
          <t>任務／通知</t>
        </is>
      </c>
      <c r="F11" s="20" t="inlineStr">
        <is>
          <t>✅ 2026-08-03 拍板</t>
        </is>
      </c>
      <c r="G11" s="9" t="inlineStr">
        <is>
          <t>待辦池頁面已存在（/dashboard/task-pool），可直接接</t>
        </is>
      </c>
    </row>
    <row r="12">
      <c r="A12" s="7" t="inlineStr">
        <is>
          <t>-</t>
        </is>
      </c>
      <c r="B12" s="8" t="inlineStr">
        <is>
          <t>數字鍵盤右側</t>
        </is>
      </c>
      <c r="C12" s="9" t="inlineStr">
        <is>
          <t>設定按鈕</t>
        </is>
      </c>
      <c r="D12" s="10" t="inlineStr">
        <is>
          <t>要做</t>
        </is>
      </c>
      <c r="E12" s="9" t="inlineStr">
        <is>
          <t>設定</t>
        </is>
      </c>
      <c r="F12" s="20" t="inlineStr">
        <is>
          <t>✅ 2026-08-03 拍板</t>
        </is>
      </c>
      <c r="G12" s="9" t="inlineStr">
        <is>
          <t>頂欄現有的設定鈕搬過來</t>
        </is>
      </c>
    </row>
    <row r="13">
      <c r="A13" s="7" t="inlineStr">
        <is>
          <t>*</t>
        </is>
      </c>
      <c r="B13" s="8" t="inlineStr">
        <is>
          <t>數字鍵盤右上</t>
        </is>
      </c>
      <c r="C13" s="9" t="inlineStr">
        <is>
          <t>（未使用）</t>
        </is>
      </c>
      <c r="D13" s="10" t="inlineStr">
        <is>
          <t>空著</t>
        </is>
      </c>
      <c r="E13" s="9" t="inlineStr">
        <is>
          <t>（保留）</t>
        </is>
      </c>
      <c r="F13" s="20" t="inlineStr"/>
      <c r="G13" s="9" t="inlineStr">
        <is>
          <t>建議留白，不要一次把鍵位用完</t>
        </is>
      </c>
    </row>
    <row r="14">
      <c r="A14" s="7" t="inlineStr">
        <is>
          <t>/</t>
        </is>
      </c>
      <c r="B14" s="8" t="inlineStr">
        <is>
          <t>數字鍵盤右上</t>
        </is>
      </c>
      <c r="C14" s="9" t="inlineStr">
        <is>
          <t>全域搜尋</t>
        </is>
      </c>
      <c r="D14" s="10" t="inlineStr">
        <is>
          <t>要做</t>
        </is>
      </c>
      <c r="E14" s="9" t="inlineStr">
        <is>
          <t>全域搜尋</t>
        </is>
      </c>
      <c r="F14" s="20" t="inlineStr">
        <is>
          <t>✅ 2026-08-03 拍板</t>
        </is>
      </c>
      <c r="G14" s="9" t="inlineStr">
        <is>
          <t>規格已定：搜尋不做成頁面、同一個框依角色回不同答案</t>
        </is>
      </c>
    </row>
    <row r="15">
      <c r="A15" s="7" t="inlineStr">
        <is>
          <t>NumLock</t>
        </is>
      </c>
      <c r="B15" s="8" t="inlineStr">
        <is>
          <t>數字鍵盤左上</t>
        </is>
      </c>
      <c r="C15" s="9" t="inlineStr">
        <is>
          <t>（不攔）</t>
        </is>
      </c>
      <c r="D15" s="10" t="inlineStr">
        <is>
          <t>還給系統</t>
        </is>
      </c>
      <c r="E15" s="9" t="inlineStr">
        <is>
          <t>不攔</t>
        </is>
      </c>
      <c r="F15" s="20" t="inlineStr"/>
      <c r="G15" s="9" t="inlineStr">
        <is>
          <t>攔了會讓整個數字鍵盤失效</t>
        </is>
      </c>
    </row>
    <row r="16">
      <c r="A16" s="7" t="inlineStr">
        <is>
          <t>Backspace</t>
        </is>
      </c>
      <c r="B16" s="8" t="inlineStr">
        <is>
          <t>主鍵盤</t>
        </is>
      </c>
      <c r="C16" s="9" t="inlineStr">
        <is>
          <t>（未使用）</t>
        </is>
      </c>
      <c r="D16" s="10" t="inlineStr">
        <is>
          <t>空著</t>
        </is>
      </c>
      <c r="E16" s="9" t="inlineStr">
        <is>
          <t>（保留）</t>
        </is>
      </c>
      <c r="F16" s="20" t="inlineStr"/>
      <c r="G16" s="9" t="inlineStr">
        <is>
          <t>與 0 功能重複，建議不做</t>
        </is>
      </c>
    </row>
    <row r="18">
      <c r="A18" s="1" t="inlineStr">
        <is>
          <t>頂欄現有四顆按鈕（要被收進去的東西）</t>
        </is>
      </c>
    </row>
    <row r="19">
      <c r="A19" s="6" t="inlineStr">
        <is>
          <t>頂欄按鈕</t>
        </is>
      </c>
      <c r="B19" s="6" t="inlineStr">
        <is>
          <t>現在的狀態</t>
        </is>
      </c>
      <c r="C19" s="6" t="inlineStr">
        <is>
          <t>收進九宮格之後放哪</t>
        </is>
      </c>
      <c r="D19" s="6" t="inlineStr">
        <is>
          <t>執行長裁示</t>
        </is>
      </c>
    </row>
    <row r="20">
      <c r="A20" s="7" t="inlineStr">
        <is>
          <t>功能選單</t>
        </is>
      </c>
      <c r="B20" s="9" t="inlineStr">
        <is>
          <t>已實作＝F2 九宮格本體</t>
        </is>
      </c>
      <c r="C20" s="9" t="inlineStr">
        <is>
          <t>不動，它就是入口</t>
        </is>
      </c>
      <c r="D20" s="21" t="inlineStr">
        <is>
          <t>✅ 2026-08-03</t>
        </is>
      </c>
    </row>
    <row r="21">
      <c r="A21" s="7" t="inlineStr">
        <is>
          <t>待辦</t>
        </is>
      </c>
      <c r="B21" s="9" t="inlineStr">
        <is>
          <t>頂欄有按鈕、標示建置中</t>
        </is>
      </c>
      <c r="C21" s="9" t="inlineStr">
        <is>
          <t>掛 + 鍵（任務／通知）</t>
        </is>
      </c>
      <c r="D21" s="21" t="inlineStr">
        <is>
          <t>✅ 2026-08-03 拍板</t>
        </is>
      </c>
    </row>
    <row r="22">
      <c r="A22" s="7" t="inlineStr">
        <is>
          <t>使用者</t>
        </is>
      </c>
      <c r="B22" s="9" t="inlineStr">
        <is>
          <t>已實作（顯示姓名／員編）</t>
        </is>
      </c>
      <c r="C22" s="9" t="inlineStr">
        <is>
          <t>併進 . 鍵的「資訊」</t>
        </is>
      </c>
      <c r="D22" s="21" t="inlineStr">
        <is>
          <t>✅ 2026-08-03 拍板</t>
        </is>
      </c>
    </row>
    <row r="23">
      <c r="A23" s="7" t="inlineStr">
        <is>
          <t>設定</t>
        </is>
      </c>
      <c r="B23" s="9" t="inlineStr">
        <is>
          <t>已實作</t>
        </is>
      </c>
      <c r="C23" s="9" t="inlineStr">
        <is>
          <t>掛 - 鍵</t>
        </is>
      </c>
      <c r="D23" s="21" t="inlineStr">
        <is>
          <t>✅ 2026-08-03 拍板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38" customWidth="1" min="4" max="4"/>
    <col width="26" customWidth="1" min="5" max="5"/>
  </cols>
  <sheetData>
    <row r="1">
      <c r="A1" s="1" t="inlineStr">
        <is>
          <t>. 鍵　「資訊」（2026-08-03 執行長拍板定名）</t>
        </is>
      </c>
    </row>
    <row r="2">
      <c r="A2" s="19" t="inlineStr">
        <is>
          <t>黃底＝請執行長填。這一格走同一套九宮格結構（等於第十個角色），⛔ 不為它另外發明一種選單。</t>
        </is>
      </c>
    </row>
    <row r="4">
      <c r="A4" s="4" t="inlineStr">
        <is>
          <t>一、按鈕名稱（已定案）</t>
        </is>
      </c>
    </row>
    <row r="5">
      <c r="A5" s="6" t="inlineStr">
        <is>
          <t>候選名稱</t>
        </is>
      </c>
      <c r="B5" s="6" t="inlineStr">
        <is>
          <t>優點</t>
        </is>
      </c>
      <c r="C5" s="6" t="inlineStr">
        <is>
          <t>缺點</t>
        </is>
      </c>
      <c r="D5" s="6" t="inlineStr">
        <is>
          <t>執行長裁示</t>
        </is>
      </c>
    </row>
    <row r="6">
      <c r="A6" s="7" t="inlineStr">
        <is>
          <t>資訊</t>
        </is>
      </c>
      <c r="B6" s="9" t="inlineStr">
        <is>
          <t>涵蓋得最廣，蓋得住「公司發的」與「我自己的」兩種東西</t>
        </is>
      </c>
      <c r="C6" s="9" t="inlineStr">
        <is>
          <t>看不出裡面有什麼，靠格子內容補</t>
        </is>
      </c>
      <c r="D6" s="7" t="inlineStr">
        <is>
          <t>✅ 2026-08-03 採用</t>
        </is>
      </c>
    </row>
    <row r="7">
      <c r="A7" s="7" t="inlineStr">
        <is>
          <t>我的</t>
        </is>
      </c>
      <c r="B7" s="9" t="inlineStr">
        <is>
          <t>兩個字最短、最好念</t>
        </is>
      </c>
      <c r="C7" s="9" t="inlineStr">
        <is>
          <t>佈告欄是公司的、不是我的，名字蓋不住</t>
        </is>
      </c>
      <c r="D7" s="8" t="inlineStr">
        <is>
          <t>不採用</t>
        </is>
      </c>
    </row>
    <row r="8">
      <c r="A8" s="7" t="inlineStr">
        <is>
          <t>個人專區</t>
        </is>
      </c>
      <c r="B8" s="9" t="inlineStr">
        <is>
          <t>意思最清楚</t>
        </is>
      </c>
      <c r="C8" s="9" t="inlineStr">
        <is>
          <t>四個字，格子裡字會擠</t>
        </is>
      </c>
      <c r="D8" s="8" t="inlineStr">
        <is>
          <t>不採用</t>
        </is>
      </c>
    </row>
    <row r="9">
      <c r="A9" s="7" t="inlineStr">
        <is>
          <t>公司與我</t>
        </is>
      </c>
      <c r="B9" s="9" t="inlineStr">
        <is>
          <t>把「公司發布的」和「我自己的」都講到了</t>
        </is>
      </c>
      <c r="C9" s="9" t="inlineStr">
        <is>
          <t>不像 ERP 用語，較口語</t>
        </is>
      </c>
      <c r="D9" s="8" t="inlineStr">
        <is>
          <t>不採用</t>
        </is>
      </c>
    </row>
    <row r="11">
      <c r="A11" s="4" t="inlineStr">
        <is>
          <t>二、裡面放什麼（九格，號碼一樣終身凍結）</t>
        </is>
      </c>
    </row>
    <row r="12">
      <c r="A12" s="6" t="inlineStr">
        <is>
          <t>格號</t>
        </is>
      </c>
      <c r="B12" s="6" t="inlineStr">
        <is>
          <t>內容</t>
        </is>
      </c>
      <c r="C12" s="6" t="inlineStr">
        <is>
          <t>現況</t>
        </is>
      </c>
      <c r="D12" s="6" t="inlineStr">
        <is>
          <t>現成的東西在哪</t>
        </is>
      </c>
      <c r="E12" s="6" t="inlineStr">
        <is>
          <t>執行長裁示</t>
        </is>
      </c>
    </row>
    <row r="13">
      <c r="A13" s="22" t="n">
        <v>1</v>
      </c>
      <c r="B13" s="7" t="inlineStr">
        <is>
          <t>個人資訊</t>
        </is>
      </c>
      <c r="C13" s="9" t="inlineStr">
        <is>
          <t>頂欄已有（只顯示姓名／員編）</t>
        </is>
      </c>
      <c r="D13" s="8" t="inlineStr">
        <is>
          <t>V3TopBar 使用者鈕</t>
        </is>
      </c>
      <c r="E13" s="9" t="inlineStr">
        <is>
          <t>✅ 執行長已點名</t>
        </is>
      </c>
    </row>
    <row r="14">
      <c r="A14" s="22" t="n">
        <v>2</v>
      </c>
      <c r="B14" s="7" t="inlineStr">
        <is>
          <t>行事曆</t>
        </is>
      </c>
      <c r="C14" s="9" t="inlineStr">
        <is>
          <t>後端已有 API、前端元件在封存的舊首頁裡</t>
        </is>
      </c>
      <c r="D14" s="8" t="inlineStr">
        <is>
          <t>HomeView（468 行，已接真實 API）</t>
        </is>
      </c>
      <c r="E14" s="9" t="inlineStr">
        <is>
          <t>✅ 執行長已點名</t>
        </is>
      </c>
    </row>
    <row r="15">
      <c r="A15" s="22" t="n">
        <v>3</v>
      </c>
      <c r="B15" s="7" t="inlineStr">
        <is>
          <t>佈告欄</t>
        </is>
      </c>
      <c r="C15" s="9" t="inlineStr">
        <is>
          <t>只有「管理端」在行政作業 9-3；看的那一端要做</t>
        </is>
      </c>
      <c r="D15" s="8" t="inlineStr">
        <is>
          <t>HomeView 公告區塊</t>
        </is>
      </c>
      <c r="E15" s="9" t="inlineStr">
        <is>
          <t>✅ 執行長已點名</t>
        </is>
      </c>
    </row>
    <row r="16">
      <c r="A16" s="22" t="n">
        <v>4</v>
      </c>
      <c r="B16" s="20" t="inlineStr"/>
      <c r="C16" s="9" t="inlineStr"/>
      <c r="D16" s="8" t="inlineStr"/>
      <c r="E16" s="20" t="inlineStr"/>
    </row>
    <row r="17">
      <c r="A17" s="22" t="n">
        <v>5</v>
      </c>
      <c r="B17" s="20" t="inlineStr"/>
      <c r="C17" s="9" t="inlineStr"/>
      <c r="D17" s="8" t="inlineStr"/>
      <c r="E17" s="20" t="inlineStr"/>
    </row>
    <row r="18">
      <c r="A18" s="22" t="n">
        <v>6</v>
      </c>
      <c r="B18" s="20" t="inlineStr"/>
      <c r="C18" s="9" t="inlineStr"/>
      <c r="D18" s="8" t="inlineStr"/>
      <c r="E18" s="20" t="inlineStr"/>
    </row>
    <row r="19">
      <c r="A19" s="22" t="n">
        <v>7</v>
      </c>
      <c r="B19" s="20" t="inlineStr"/>
      <c r="C19" s="9" t="inlineStr"/>
      <c r="D19" s="8" t="inlineStr"/>
      <c r="E19" s="20" t="inlineStr"/>
    </row>
    <row r="20">
      <c r="A20" s="22" t="n">
        <v>8</v>
      </c>
      <c r="B20" s="20" t="inlineStr"/>
      <c r="C20" s="9" t="inlineStr"/>
      <c r="D20" s="8" t="inlineStr"/>
      <c r="E20" s="20" t="inlineStr"/>
    </row>
    <row r="21">
      <c r="A21" s="22" t="n">
        <v>9</v>
      </c>
      <c r="B21" s="20" t="inlineStr"/>
      <c r="C21" s="9" t="inlineStr"/>
      <c r="D21" s="8" t="inlineStr"/>
      <c r="E21" s="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22" customWidth="1" min="4" max="4"/>
    <col width="32" customWidth="1" min="5" max="5"/>
    <col width="26" customWidth="1" min="6" max="6"/>
  </cols>
  <sheetData>
    <row r="1">
      <c r="A1" s="1" t="inlineStr">
        <is>
          <t>留白與空號一覽（號碼凍結鐵則的登記簿）</t>
        </is>
      </c>
    </row>
    <row r="2">
      <c r="A2" s="19" t="inlineStr">
        <is>
          <t>新功能只能撿這些空號，⛔ 不可插隊擠掉既有號碼。</t>
        </is>
      </c>
    </row>
    <row r="4">
      <c r="A4" s="6" t="inlineStr">
        <is>
          <t>位置</t>
        </is>
      </c>
      <c r="B4" s="6" t="inlineStr">
        <is>
          <t>角色</t>
        </is>
      </c>
      <c r="C4" s="6" t="inlineStr">
        <is>
          <t>格號</t>
        </is>
      </c>
      <c r="D4" s="6" t="inlineStr">
        <is>
          <t>現況</t>
        </is>
      </c>
      <c r="E4" s="6" t="inlineStr">
        <is>
          <t>將來撿這個號的功能</t>
        </is>
      </c>
      <c r="F4" s="6" t="inlineStr">
        <is>
          <t>執行長裁示</t>
        </is>
      </c>
    </row>
    <row r="5">
      <c r="A5" s="7" t="inlineStr">
        <is>
          <t>F2 → 1 → 9</t>
        </is>
      </c>
      <c r="B5" s="9" t="inlineStr">
        <is>
          <t>銷售作業</t>
        </is>
      </c>
      <c r="C5" s="23" t="n">
        <v>9</v>
      </c>
      <c r="D5" s="9" t="inlineStr">
        <is>
          <t>留白（刻意不硬湊）</t>
        </is>
      </c>
      <c r="E5" s="21" t="inlineStr"/>
      <c r="F5" s="21" t="inlineStr"/>
    </row>
    <row r="6">
      <c r="A6" s="7" t="inlineStr">
        <is>
          <t>F2 → 3 → 9</t>
        </is>
      </c>
      <c r="B6" s="9" t="inlineStr">
        <is>
          <t>倉庫作業</t>
        </is>
      </c>
      <c r="C6" s="23" t="n">
        <v>9</v>
      </c>
      <c r="D6" s="9" t="inlineStr">
        <is>
          <t>留白（刻意不硬湊）</t>
        </is>
      </c>
      <c r="E6" s="21" t="inlineStr"/>
      <c r="F6" s="21" t="inlineStr"/>
    </row>
    <row r="7">
      <c r="A7" s="7" t="inlineStr">
        <is>
          <t>F2 → 6 → 9</t>
        </is>
      </c>
      <c r="B7" s="9" t="inlineStr">
        <is>
          <t>出納作業</t>
        </is>
      </c>
      <c r="C7" s="23" t="n">
        <v>9</v>
      </c>
      <c r="D7" s="9" t="inlineStr">
        <is>
          <t>留白（刻意不硬湊）</t>
        </is>
      </c>
      <c r="E7" s="21" t="inlineStr"/>
      <c r="F7" s="21" t="inlineStr"/>
    </row>
    <row r="8">
      <c r="A8" s="7" t="inlineStr">
        <is>
          <t>F2 → 8 → 8</t>
        </is>
      </c>
      <c r="B8" s="9" t="inlineStr">
        <is>
          <t>經營作業</t>
        </is>
      </c>
      <c r="C8" s="23" t="n">
        <v>8</v>
      </c>
      <c r="D8" s="9" t="inlineStr">
        <is>
          <t>留白（刻意不硬湊）</t>
        </is>
      </c>
      <c r="E8" s="21" t="inlineStr"/>
      <c r="F8" s="21" t="inlineStr"/>
    </row>
    <row r="9">
      <c r="A9" s="7" t="inlineStr">
        <is>
          <t>F2 → 8 → 9</t>
        </is>
      </c>
      <c r="B9" s="9" t="inlineStr">
        <is>
          <t>經營作業</t>
        </is>
      </c>
      <c r="C9" s="23" t="n">
        <v>9</v>
      </c>
      <c r="D9" s="9" t="inlineStr">
        <is>
          <t>留白（刻意不硬湊）</t>
        </is>
      </c>
      <c r="E9" s="21" t="inlineStr"/>
      <c r="F9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2026-08-03T01:42:03Z</dcterms:created>
  <dcterms:modified xsi:type="dcterms:W3CDTF">2026-08-03T01:42:03Z</dcterms:modified>
</cp:coreProperties>
</file>